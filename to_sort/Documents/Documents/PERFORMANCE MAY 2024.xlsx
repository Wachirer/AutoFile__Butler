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ville\Desktop\"/>
    </mc:Choice>
  </mc:AlternateContent>
  <bookViews>
    <workbookView xWindow="0" yWindow="0" windowWidth="11175" windowHeight="4635"/>
  </bookViews>
  <sheets>
    <sheet name="P&amp;L MAY 2024" sheetId="1" r:id="rId1"/>
    <sheet name="HEALTHCLUB REVENUE" sheetId="3" r:id="rId2"/>
    <sheet name="MISC REVENUE" sheetId="11" r:id="rId3"/>
    <sheet name="COS-OTHERS" sheetId="10" r:id="rId4"/>
    <sheet name="OPERATING EXPENSES" sheetId="4" r:id="rId5"/>
    <sheet name="REPAIRS &amp; MAINTAINANCE" sheetId="5" r:id="rId6"/>
    <sheet name="ADMIN &amp; GENERAL" sheetId="6" r:id="rId7"/>
    <sheet name="PROFESSIONAL" sheetId="7" r:id="rId8"/>
    <sheet name="SALES &amp; MARKETING" sheetId="8" r:id="rId9"/>
    <sheet name="FINANCE EXPENSES" sheetId="9" r:id="rId10"/>
    <sheet name="Sheet1" sheetId="12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D9" i="11" l="1"/>
  <c r="D17" i="11"/>
  <c r="D7" i="11"/>
  <c r="C13" i="10"/>
  <c r="C22" i="10"/>
  <c r="C20" i="10"/>
  <c r="F43" i="1"/>
  <c r="F41" i="1"/>
  <c r="F37" i="1"/>
  <c r="F20" i="1"/>
  <c r="F21" i="1"/>
  <c r="F22" i="1"/>
  <c r="F23" i="1"/>
  <c r="F24" i="1"/>
  <c r="F25" i="1"/>
  <c r="F19" i="1"/>
  <c r="F6" i="1"/>
  <c r="F7" i="1"/>
  <c r="F8" i="1"/>
  <c r="F9" i="1"/>
  <c r="F10" i="1"/>
  <c r="F11" i="1"/>
  <c r="F13" i="1"/>
  <c r="F14" i="1"/>
  <c r="F5" i="1"/>
  <c r="E36" i="1"/>
  <c r="E47" i="1" s="1"/>
  <c r="E12" i="1"/>
  <c r="E15" i="1" s="1"/>
  <c r="E29" i="1" s="1"/>
  <c r="C26" i="9"/>
  <c r="C23" i="9"/>
  <c r="C10" i="8"/>
  <c r="C7" i="8"/>
  <c r="C5" i="7"/>
  <c r="C27" i="6"/>
  <c r="C13" i="6"/>
  <c r="C18" i="6"/>
  <c r="C32" i="5"/>
  <c r="C38" i="5" s="1"/>
  <c r="C28" i="5"/>
  <c r="C21" i="5"/>
  <c r="C10" i="5"/>
  <c r="C6" i="5"/>
  <c r="D46" i="4"/>
  <c r="D42" i="4"/>
  <c r="D39" i="4"/>
  <c r="D36" i="4"/>
  <c r="D23" i="4"/>
  <c r="D20" i="4"/>
  <c r="D17" i="4"/>
  <c r="D12" i="4"/>
  <c r="D7" i="4"/>
  <c r="C46" i="1"/>
  <c r="C42" i="1"/>
  <c r="F42" i="1" s="1"/>
  <c r="C39" i="1"/>
  <c r="F39" i="1" s="1"/>
  <c r="E49" i="1" l="1"/>
  <c r="F12" i="1"/>
  <c r="D18" i="11"/>
  <c r="C28" i="6"/>
  <c r="D53" i="4"/>
  <c r="C15" i="1" l="1"/>
  <c r="F15" i="1" s="1"/>
  <c r="C36" i="1"/>
  <c r="C47" i="1" s="1"/>
  <c r="C26" i="1"/>
  <c r="C27" i="1" l="1"/>
  <c r="F27" i="1" s="1"/>
  <c r="F29" i="1" s="1"/>
  <c r="F26" i="1"/>
  <c r="C29" i="10"/>
  <c r="C29" i="1" l="1"/>
  <c r="C49" i="1" s="1"/>
</calcChain>
</file>

<file path=xl/sharedStrings.xml><?xml version="1.0" encoding="utf-8"?>
<sst xmlns="http://schemas.openxmlformats.org/spreadsheetml/2006/main" count="244" uniqueCount="194">
  <si>
    <t>ACTUALS</t>
  </si>
  <si>
    <t>REVENUES</t>
  </si>
  <si>
    <t>ROOM SALES</t>
  </si>
  <si>
    <t>FOOD SALES</t>
  </si>
  <si>
    <t>BEVERAGE SALES</t>
  </si>
  <si>
    <t>LAUNDRY &amp; DRY CLEANING SALES</t>
  </si>
  <si>
    <t>HEALTH CLUBS &amp; SWIMMING SALES</t>
  </si>
  <si>
    <t>BUSINESS CENTRE SALES</t>
  </si>
  <si>
    <t>BANQUET &amp; CONFERENCING SALES</t>
  </si>
  <si>
    <t>MISCELLANOUES INCOME</t>
  </si>
  <si>
    <t>TOTAL REVENUES</t>
  </si>
  <si>
    <t>COST OF SALES</t>
  </si>
  <si>
    <t>COST OF SALES - FOOD</t>
  </si>
  <si>
    <t>COST OF SALES - BEVERAGE</t>
  </si>
  <si>
    <t>COST OF SALES- TELEPHONE SALES</t>
  </si>
  <si>
    <t>COST OF SALES LAUNDRY, DRY CLE</t>
  </si>
  <si>
    <t>COST OF SALES BUSINESS CENTRE</t>
  </si>
  <si>
    <t>COST OF SALES CURIO/ GIFT SHOP</t>
  </si>
  <si>
    <t>COST OF SALES BANQUET</t>
  </si>
  <si>
    <t>COST OF SALES OTHERS</t>
  </si>
  <si>
    <t>TOTAL COST OF SALES</t>
  </si>
  <si>
    <t>GROSS PROFIT</t>
  </si>
  <si>
    <t>EXPENSES</t>
  </si>
  <si>
    <t>BASIC PAY</t>
  </si>
  <si>
    <t>PAYROLL RELATED EXPENSES</t>
  </si>
  <si>
    <t>OPERATING EXPENSES</t>
  </si>
  <si>
    <t>REPAIRS &amp; MAINTENANCE</t>
  </si>
  <si>
    <t>RENT RATES &amp;TAXES</t>
  </si>
  <si>
    <t>ADMINISTRATION &amp; GENERAL</t>
  </si>
  <si>
    <t>PROFESSIONAL &amp; CONSULTANT FEES</t>
  </si>
  <si>
    <t>SALES &amp; MARKETING EXPENSES</t>
  </si>
  <si>
    <t>FINANCE CHARGES</t>
  </si>
  <si>
    <t>DEPRECIATION</t>
  </si>
  <si>
    <t>TAXATION</t>
  </si>
  <si>
    <t>TOTAL EXPENSES</t>
  </si>
  <si>
    <t>NET PROFIT / LOSS</t>
  </si>
  <si>
    <t>POWER</t>
  </si>
  <si>
    <t>WATER</t>
  </si>
  <si>
    <t>Ledger</t>
  </si>
  <si>
    <t>Description</t>
  </si>
  <si>
    <t>Account Code</t>
  </si>
  <si>
    <t>009318-MFI Document Solut</t>
  </si>
  <si>
    <t>009394-BLUE SCOPE SUPPLIE</t>
  </si>
  <si>
    <t>010942-SHIBAM SUPPLIES LT</t>
  </si>
  <si>
    <t>010943-SHIBAM SUPPLIES LT</t>
  </si>
  <si>
    <t>010944-SHIBAM SUPPLIES LT</t>
  </si>
  <si>
    <t>010945-SHIBAM SUPPLIES LT</t>
  </si>
  <si>
    <t>010971-WACHIRA GACHERU SO</t>
  </si>
  <si>
    <t>010972-WACHIRA GACHERU SO</t>
  </si>
  <si>
    <t>011024-PRINT PARTS LTD</t>
  </si>
  <si>
    <t>011161-CARREFOUR NAIROBI</t>
  </si>
  <si>
    <t>AIR FRESHNERS MAY 2024</t>
  </si>
  <si>
    <t>AIRPORT TRANSFER</t>
  </si>
  <si>
    <t>DSTV BUS STAY SUBSCRIPTIO</t>
  </si>
  <si>
    <t>DSTV BUS STAY ULTRA SUBSC</t>
  </si>
  <si>
    <t>EMAIL 365</t>
  </si>
  <si>
    <t>EMARKETING EMAIL</t>
  </si>
  <si>
    <t>FO SAFARICOM-0724256201</t>
  </si>
  <si>
    <t>FUELS STORE//co-Operating</t>
  </si>
  <si>
    <t>G4S ALARM HPH</t>
  </si>
  <si>
    <t>House keeping s-Cleaning</t>
  </si>
  <si>
    <t>House keeping s-Guest Sup</t>
  </si>
  <si>
    <t>House keeping s-Laundry S</t>
  </si>
  <si>
    <t>INTERNET &amp;OFFSITE BACKUP</t>
  </si>
  <si>
    <t>INTERNET LINK 2</t>
  </si>
  <si>
    <t>KENYA BUSH</t>
  </si>
  <si>
    <t>KPLC BILL MAY 2024</t>
  </si>
  <si>
    <t>LAUNDRY</t>
  </si>
  <si>
    <t>PAYMENT TO PATRICK AMUNGA</t>
  </si>
  <si>
    <t>PAYMENT TO SAMSCOM</t>
  </si>
  <si>
    <t>SANITARY BINS MAY 2024</t>
  </si>
  <si>
    <t>SPA COMMISSIONS MAY 2024</t>
  </si>
  <si>
    <t>SPA PREVIOUS MAY 2024-WHT</t>
  </si>
  <si>
    <t>STAFF AIRTIME MAY</t>
  </si>
  <si>
    <t>Stationary Stor-Computer</t>
  </si>
  <si>
    <t>Stationary Stor-Stationar</t>
  </si>
  <si>
    <t>WATER BILL MAY 2024</t>
  </si>
  <si>
    <t>Total</t>
  </si>
  <si>
    <t>AIRPORT TRANSFERS</t>
  </si>
  <si>
    <t>SPA</t>
  </si>
  <si>
    <t>Health Club -Manual Posti</t>
  </si>
  <si>
    <t>Health Club Gym Entries</t>
  </si>
  <si>
    <t>Health Club Gym Full Year</t>
  </si>
  <si>
    <t>Health Club Gym Half Year</t>
  </si>
  <si>
    <t>Health Club Gym Monthly</t>
  </si>
  <si>
    <t>Health Club Gym Quarterly</t>
  </si>
  <si>
    <t>Health Club Gym Sauna</t>
  </si>
  <si>
    <t>Health Club Gym Swimming</t>
  </si>
  <si>
    <t>Health Club Sauna</t>
  </si>
  <si>
    <t>Health Club Swimming</t>
  </si>
  <si>
    <t>Health Club Swimming Less</t>
  </si>
  <si>
    <t>Cutleries &amp; Utensils</t>
  </si>
  <si>
    <t>AFRATECK-DOOR LOCKS</t>
  </si>
  <si>
    <t>AQUAVITA-GYM WATER DISPEN</t>
  </si>
  <si>
    <t>BATTERY UPS</t>
  </si>
  <si>
    <t>CURTAINS</t>
  </si>
  <si>
    <t>DECOR TONE- CURTAINS</t>
  </si>
  <si>
    <t>ENDEVOUR-PAYROLL SYSTEM</t>
  </si>
  <si>
    <t>FAREX-ELECTRIC FENCE,CAME</t>
  </si>
  <si>
    <t>FUEL   KMFC 482S MAY 2024</t>
  </si>
  <si>
    <t>FUEL  GENERATOR  MAY 2024</t>
  </si>
  <si>
    <t>FUEL  KBJ 849R MAY 2024</t>
  </si>
  <si>
    <t>FUEL  KCC 540E  MAY 2024</t>
  </si>
  <si>
    <t>GARBAGE COLL MAY 2024</t>
  </si>
  <si>
    <t>KONE LIFT-MAY 2024</t>
  </si>
  <si>
    <t>NOVACOM SUPPORT MAY 24</t>
  </si>
  <si>
    <t>PENTHOSE F TILES</t>
  </si>
  <si>
    <t>PEST CONTROL MAY 2024</t>
  </si>
  <si>
    <t>SCHINDLER-MAIN OFF MAR</t>
  </si>
  <si>
    <t>SERVICE OF WEIGHIN SCALL</t>
  </si>
  <si>
    <t>SHINDLER-BAR 1 LIFT APR</t>
  </si>
  <si>
    <t>STEAM REPAIRS</t>
  </si>
  <si>
    <t>Stewards Main S-Operating</t>
  </si>
  <si>
    <t>TILES</t>
  </si>
  <si>
    <t>DECORATIONS</t>
  </si>
  <si>
    <t>2SECURITY GUARDS MAY 2024</t>
  </si>
  <si>
    <t>3 GUARDS-UTALII TRAINNIN</t>
  </si>
  <si>
    <t>5SECURITY GUARDS MAY 2024</t>
  </si>
  <si>
    <t>BRANDING M,B &amp; KBJ MAY 24</t>
  </si>
  <si>
    <t>BUSINESS PERMIT MAY 2024</t>
  </si>
  <si>
    <t>CERT- WORK PLACE MAY 2024</t>
  </si>
  <si>
    <t>FIRE PREVENTION MAY 2024</t>
  </si>
  <si>
    <t>FOOD HYGIENE MAY 2024</t>
  </si>
  <si>
    <t>GIVE AWAY TO STAFF</t>
  </si>
  <si>
    <t>HEALTH CERT MAY  2024</t>
  </si>
  <si>
    <t>KAHC MAY  2024</t>
  </si>
  <si>
    <t>KAMPRISK MAY 2024</t>
  </si>
  <si>
    <t>LIQUOR LICENCE MAY  2024</t>
  </si>
  <si>
    <t>R,OFF NCBA USD</t>
  </si>
  <si>
    <t>R.OFF ABSA 0945003170</t>
  </si>
  <si>
    <t>R.OFF MAY SALARIES</t>
  </si>
  <si>
    <t>R.OFF NCBA GYM</t>
  </si>
  <si>
    <t>R.OFF NCBA PAYROLL</t>
  </si>
  <si>
    <t>R.OFF NCBA USD</t>
  </si>
  <si>
    <t>SIGN-ADVERTISING MAY 24</t>
  </si>
  <si>
    <t>Audit fee</t>
  </si>
  <si>
    <t>LITTLE CAB MAY 2024</t>
  </si>
  <si>
    <t>NUPEA COMMISSION</t>
  </si>
  <si>
    <t>SBM ADVERTISING CR CARD</t>
  </si>
  <si>
    <t xml:space="preserve">FUEL </t>
  </si>
  <si>
    <t>ZOOM COMMISSION</t>
  </si>
  <si>
    <t>ABSA CR CARDS</t>
  </si>
  <si>
    <t>ABSA CR CARDS MAY 2024</t>
  </si>
  <si>
    <t>B.CHARGES 8052124</t>
  </si>
  <si>
    <t>B.CHARGES ABSA 5003170</t>
  </si>
  <si>
    <t>B.CHARGES NCBA GYM(0091)</t>
  </si>
  <si>
    <t>B.CHARGES NCBA PAYROLL</t>
  </si>
  <si>
    <t>B.CHARGES NCBA SPA(0149)</t>
  </si>
  <si>
    <t>B.CHARGES NCBA USD</t>
  </si>
  <si>
    <t>BANK CHARGES</t>
  </si>
  <si>
    <t>CR CARDS</t>
  </si>
  <si>
    <t>EQUITY CR CARDS</t>
  </si>
  <si>
    <t>EQUITY CR CARDS APR</t>
  </si>
  <si>
    <t>EQUITY CR CARDS MAY 2024</t>
  </si>
  <si>
    <t>GYM CR CARDS MAY 2024</t>
  </si>
  <si>
    <t>OVERDRAFT INTEREST</t>
  </si>
  <si>
    <t>OVERDRAW ABSA 5003170</t>
  </si>
  <si>
    <t>Reversal Journal</t>
  </si>
  <si>
    <t>SPA CR CARDS</t>
  </si>
  <si>
    <t>SPA CR CARDS MAY 2024</t>
  </si>
  <si>
    <t>USD CR CARDS</t>
  </si>
  <si>
    <t>USD CR CARDS MAY 2024</t>
  </si>
  <si>
    <t>WHT INTEREST NCBA USD</t>
  </si>
  <si>
    <t xml:space="preserve"> KITCHEN REPAIRS</t>
  </si>
  <si>
    <t>safety and health audit</t>
  </si>
  <si>
    <t>011179-Cash Purchases</t>
  </si>
  <si>
    <t>011193-Cash Purchases</t>
  </si>
  <si>
    <t>Beverage Main S-CIGARETTE</t>
  </si>
  <si>
    <t>House keeping s-Operating</t>
  </si>
  <si>
    <t>Maintenance Mai-Maintenan</t>
  </si>
  <si>
    <t>Maintenance Mai-Operating</t>
  </si>
  <si>
    <t>Maintenance Mai-Other Mai</t>
  </si>
  <si>
    <t>STAFF CANTEEN-CLEANING SU</t>
  </si>
  <si>
    <t>Stationary Stor-Uniforms</t>
  </si>
  <si>
    <t>COMMISSION FOR MAY 2024-BOOKING.COM</t>
  </si>
  <si>
    <t>CR INTEREST NCBA GYM</t>
  </si>
  <si>
    <t>CR INTEREST NCBA USD</t>
  </si>
  <si>
    <t>DIVIDENDS -ABSA SHARES</t>
  </si>
  <si>
    <t>Miscellaneous</t>
  </si>
  <si>
    <t>Pool Bar B\Fast Tobacco</t>
  </si>
  <si>
    <t>Pool Bar Dinner Tobacco</t>
  </si>
  <si>
    <t>Pool Bar Lunch Tobacco</t>
  </si>
  <si>
    <t>WHT CR INTEREST NCBA GYM</t>
  </si>
  <si>
    <t>jerricans &amp; unutilized meals vouchers for zoomlion</t>
  </si>
  <si>
    <t>5 Servants, be obedient to them that are your masters according to the flesh, with fear and trembling, in singleness of your heart, as unto Christ;</t>
  </si>
  <si>
    <t>6 Not with eyeservice, as menpleasers; but as the servants of Christ, doing the will of God from the heart;</t>
  </si>
  <si>
    <t>7 With good will doing service, as to the Lord, and not to men:</t>
  </si>
  <si>
    <t>8 Knowing that whatsoever good thing any man doeth, the same shall he receive of the Lord, whether he be bond or free.</t>
  </si>
  <si>
    <t>9 And, ye masters, do the same things unto them, forbearing threatening: knowing that your Master also is in heaven; neither is there respect of persons with him.</t>
  </si>
  <si>
    <t>10 Finally, my brethren, be strong in the Lord, and in the power of his might.</t>
  </si>
  <si>
    <t>EPHESIANS 6:5-10(KJV)</t>
  </si>
  <si>
    <t>MAY</t>
  </si>
  <si>
    <t>APRIL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</si>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</sst>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charset val="1"/>
      <scheme val="minor"/>
    </font>
    <font>
      <b/>
      <sz val="12"/>
      <color rgb="FF000000"/>
      <name val="Segoe UI"/>
      <family val="2"/>
    </font>
    <font>
      <b/>
      <sz val="11"/>
      <color theme="1"/>
      <name val="Aptos Narrow"/>
      <charset val="1"/>
      <scheme val="minor"/>
    </font>
    <font>
      <sz val="16"/>
      <color theme="1"/>
      <name val="Aptos Narrow"/>
      <family val="2"/>
      <scheme val="minor"/>
    </font>
    <font>
      <b/>
      <u val="singleAccounting"/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ptos Narrow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5" fillId="0" borderId="0"/>
  </cellStyleXfs>
  <cellXfs count="32">
    <xf numFmtId="0" fontId="0" fillId="0" borderId="0" xfId="0"/>
    <xf numFmtId="164" fontId="0" fillId="0" borderId="0" xfId="1" applyFont="1"/>
    <xf numFmtId="0" fontId="2" fillId="0" borderId="1" xfId="0" applyFont="1" applyBorder="1"/>
    <xf numFmtId="164" fontId="2" fillId="0" borderId="1" xfId="1" applyFont="1" applyBorder="1"/>
    <xf numFmtId="0" fontId="2" fillId="0" borderId="0" xfId="0" applyFont="1"/>
    <xf numFmtId="0" fontId="3" fillId="0" borderId="1" xfId="0" applyFont="1" applyBorder="1"/>
    <xf numFmtId="164" fontId="0" fillId="0" borderId="1" xfId="1" applyFont="1" applyBorder="1"/>
    <xf numFmtId="0" fontId="0" fillId="0" borderId="1" xfId="0" applyBorder="1"/>
    <xf numFmtId="164" fontId="2" fillId="0" borderId="0" xfId="1" applyFont="1"/>
    <xf numFmtId="164" fontId="0" fillId="2" borderId="1" xfId="1" applyFont="1" applyFill="1" applyBorder="1"/>
    <xf numFmtId="164" fontId="3" fillId="0" borderId="1" xfId="1" applyFont="1" applyBorder="1"/>
    <xf numFmtId="164" fontId="2" fillId="2" borderId="1" xfId="1" applyFont="1" applyFill="1" applyBorder="1"/>
    <xf numFmtId="0" fontId="6" fillId="0" borderId="0" xfId="0" applyFont="1" applyAlignment="1">
      <alignment vertical="center" wrapText="1"/>
    </xf>
    <xf numFmtId="0" fontId="3" fillId="0" borderId="0" xfId="0" applyFont="1"/>
    <xf numFmtId="0" fontId="8" fillId="0" borderId="1" xfId="0" applyFont="1" applyBorder="1"/>
    <xf numFmtId="164" fontId="9" fillId="0" borderId="1" xfId="1" applyFont="1" applyBorder="1"/>
    <xf numFmtId="17" fontId="10" fillId="0" borderId="1" xfId="1" applyNumberFormat="1" applyFont="1" applyBorder="1"/>
    <xf numFmtId="0" fontId="8" fillId="0" borderId="0" xfId="0" applyFont="1"/>
    <xf numFmtId="0" fontId="10" fillId="0" borderId="1" xfId="0" applyFont="1" applyBorder="1"/>
    <xf numFmtId="164" fontId="11" fillId="0" borderId="1" xfId="1" applyFont="1" applyBorder="1"/>
    <xf numFmtId="0" fontId="11" fillId="0" borderId="1" xfId="1" applyNumberFormat="1" applyFont="1" applyBorder="1"/>
    <xf numFmtId="0" fontId="11" fillId="0" borderId="1" xfId="0" applyFont="1" applyBorder="1"/>
    <xf numFmtId="164" fontId="8" fillId="0" borderId="1" xfId="1" applyFont="1" applyBorder="1"/>
    <xf numFmtId="164" fontId="8" fillId="0" borderId="1" xfId="0" applyNumberFormat="1" applyFont="1" applyBorder="1"/>
    <xf numFmtId="164" fontId="11" fillId="0" borderId="1" xfId="0" applyNumberFormat="1" applyFont="1" applyBorder="1"/>
    <xf numFmtId="164" fontId="8" fillId="0" borderId="0" xfId="1" applyFont="1"/>
    <xf numFmtId="164" fontId="8" fillId="0" borderId="0" xfId="0" applyNumberFormat="1" applyFont="1"/>
    <xf numFmtId="43" fontId="8" fillId="0" borderId="1" xfId="0" applyNumberFormat="1" applyFont="1" applyBorder="1"/>
    <xf numFmtId="164" fontId="12" fillId="0" borderId="1" xfId="0" applyNumberFormat="1" applyFont="1" applyBorder="1"/>
    <xf numFmtId="164" fontId="7" fillId="0" borderId="0" xfId="1" applyFont="1"/>
    <xf numFmtId="164" fontId="12" fillId="0" borderId="0" xfId="1" applyFont="1"/>
    <xf numFmtId="43" fontId="12" fillId="0" borderId="0" xfId="0" applyNumberFormat="1" applyFont="1"/>
  </cellXfs>
  <cellStyles count="6">
    <cellStyle name="Comma" xfId="1" builtinId="3"/>
    <cellStyle name="Comma 2 2 2" xfId="4"/>
    <cellStyle name="Normal" xfId="0" builtinId="0"/>
    <cellStyle name="Normal 2" xfId="2"/>
    <cellStyle name="Normal 2 2 2" xfId="3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49"/>
  <sheetViews>
    <sheetView tabSelected="1" topLeftCell="A2" workbookViewId="0">
      <selection activeCell="H16" sqref="H16"/>
    </sheetView>
  </sheetViews>
  <sheetFormatPr defaultRowHeight="20.25"/>
  <cols>
    <col min="1" max="1" width="9" style="17"/>
    <col min="2" max="2" width="50.375" style="17" bestFit="1" customWidth="1"/>
    <col min="3" max="3" width="20.375" style="25" bestFit="1" customWidth="1"/>
    <col min="4" max="4" width="9" style="17"/>
    <col min="5" max="5" width="20.375" style="17" bestFit="1" customWidth="1"/>
    <col min="6" max="6" width="18.875" style="17" bestFit="1" customWidth="1"/>
    <col min="7" max="7" width="9" style="17"/>
    <col min="8" max="8" width="20.375" style="17" bestFit="1" customWidth="1"/>
    <col min="9" max="16384" width="9" style="17"/>
  </cols>
  <sheetData>
    <row r="3" spans="2:8" ht="24.75">
      <c r="B3" s="14"/>
      <c r="C3" s="15"/>
      <c r="D3" s="14"/>
      <c r="E3" s="16"/>
      <c r="F3" s="14"/>
    </row>
    <row r="4" spans="2:8">
      <c r="B4" s="18" t="s">
        <v>1</v>
      </c>
      <c r="C4" s="19" t="s">
        <v>191</v>
      </c>
      <c r="D4" s="14"/>
      <c r="E4" s="20" t="s">
        <v>192</v>
      </c>
      <c r="F4" s="21" t="s">
        <v>193</v>
      </c>
    </row>
    <row r="5" spans="2:8">
      <c r="B5" s="14" t="s">
        <v>2</v>
      </c>
      <c r="C5" s="22">
        <v>10866819.5</v>
      </c>
      <c r="D5" s="14"/>
      <c r="E5" s="22">
        <v>9285354.7400000002</v>
      </c>
      <c r="F5" s="23">
        <f>+C5-E5</f>
        <v>1581464.7599999998</v>
      </c>
    </row>
    <row r="6" spans="2:8">
      <c r="B6" s="14" t="s">
        <v>3</v>
      </c>
      <c r="C6" s="22">
        <v>5262690.24</v>
      </c>
      <c r="D6" s="14"/>
      <c r="E6" s="22">
        <v>5422539.2000000002</v>
      </c>
      <c r="F6" s="23">
        <f t="shared" ref="F6:F15" si="0">+C6-E6</f>
        <v>-159848.95999999996</v>
      </c>
    </row>
    <row r="7" spans="2:8">
      <c r="B7" s="14" t="s">
        <v>4</v>
      </c>
      <c r="C7" s="22">
        <v>1399268.81</v>
      </c>
      <c r="D7" s="14"/>
      <c r="E7" s="22">
        <v>1010847.39</v>
      </c>
      <c r="F7" s="23">
        <f t="shared" si="0"/>
        <v>388421.42000000004</v>
      </c>
    </row>
    <row r="8" spans="2:8">
      <c r="B8" s="14" t="s">
        <v>5</v>
      </c>
      <c r="C8" s="22">
        <v>140680.17000000001</v>
      </c>
      <c r="D8" s="14"/>
      <c r="E8" s="22">
        <v>112356.04</v>
      </c>
      <c r="F8" s="23">
        <f t="shared" si="0"/>
        <v>28324.130000000019</v>
      </c>
    </row>
    <row r="9" spans="2:8">
      <c r="B9" s="14" t="s">
        <v>6</v>
      </c>
      <c r="C9" s="22">
        <v>1698162.87</v>
      </c>
      <c r="D9" s="14"/>
      <c r="E9" s="22">
        <v>1689131.55</v>
      </c>
      <c r="F9" s="23">
        <f t="shared" si="0"/>
        <v>9031.3200000000652</v>
      </c>
    </row>
    <row r="10" spans="2:8">
      <c r="B10" s="14" t="s">
        <v>7</v>
      </c>
      <c r="C10" s="22">
        <v>43063.78</v>
      </c>
      <c r="D10" s="14"/>
      <c r="E10" s="22">
        <v>7758</v>
      </c>
      <c r="F10" s="23">
        <f t="shared" si="0"/>
        <v>35305.78</v>
      </c>
    </row>
    <row r="11" spans="2:8">
      <c r="B11" s="14" t="s">
        <v>8</v>
      </c>
      <c r="C11" s="22">
        <v>1531733.7</v>
      </c>
      <c r="D11" s="14"/>
      <c r="E11" s="22">
        <v>1226396.3600000001</v>
      </c>
      <c r="F11" s="23">
        <f t="shared" si="0"/>
        <v>305337.33999999985</v>
      </c>
    </row>
    <row r="12" spans="2:8">
      <c r="B12" s="14" t="s">
        <v>9</v>
      </c>
      <c r="C12" s="22">
        <v>102550.44000000006</v>
      </c>
      <c r="D12" s="14"/>
      <c r="E12" s="22">
        <f>670753.13-58927.99-585431.08</f>
        <v>26394.060000000056</v>
      </c>
      <c r="F12" s="23">
        <f t="shared" si="0"/>
        <v>76156.38</v>
      </c>
    </row>
    <row r="13" spans="2:8">
      <c r="B13" s="14" t="s">
        <v>78</v>
      </c>
      <c r="C13" s="22">
        <v>38050.82</v>
      </c>
      <c r="D13" s="14"/>
      <c r="E13" s="22">
        <v>58927.99</v>
      </c>
      <c r="F13" s="23">
        <f t="shared" si="0"/>
        <v>-20877.169999999998</v>
      </c>
    </row>
    <row r="14" spans="2:8">
      <c r="B14" s="14" t="s">
        <v>79</v>
      </c>
      <c r="C14" s="22">
        <v>609590.54</v>
      </c>
      <c r="D14" s="14"/>
      <c r="E14" s="22">
        <v>585431.07999999996</v>
      </c>
      <c r="F14" s="23">
        <f t="shared" si="0"/>
        <v>24159.460000000079</v>
      </c>
    </row>
    <row r="15" spans="2:8">
      <c r="B15" s="21" t="s">
        <v>10</v>
      </c>
      <c r="C15" s="19">
        <f>SUM(C5:C14)</f>
        <v>21692610.870000005</v>
      </c>
      <c r="D15" s="14"/>
      <c r="E15" s="19">
        <f>SUM(E5:E14)</f>
        <v>19425136.409999996</v>
      </c>
      <c r="F15" s="24">
        <f t="shared" si="0"/>
        <v>2267474.4600000083</v>
      </c>
      <c r="H15" s="30">
        <v>22839685.699999999</v>
      </c>
    </row>
    <row r="16" spans="2:8">
      <c r="B16" s="14"/>
      <c r="C16" s="22"/>
      <c r="D16" s="14"/>
      <c r="E16" s="22"/>
      <c r="F16" s="14"/>
      <c r="H16" s="31">
        <f>H15-C15</f>
        <v>1147074.8299999945</v>
      </c>
    </row>
    <row r="17" spans="2:6">
      <c r="B17" s="14"/>
      <c r="C17" s="22"/>
      <c r="D17" s="14"/>
      <c r="E17" s="22"/>
      <c r="F17" s="14"/>
    </row>
    <row r="18" spans="2:6">
      <c r="B18" s="18" t="s">
        <v>11</v>
      </c>
      <c r="C18" s="22"/>
      <c r="D18" s="14"/>
      <c r="E18" s="22"/>
      <c r="F18" s="14"/>
    </row>
    <row r="19" spans="2:6">
      <c r="B19" s="14" t="s">
        <v>12</v>
      </c>
      <c r="C19" s="22">
        <v>2744204.31</v>
      </c>
      <c r="D19" s="14"/>
      <c r="E19" s="22">
        <v>2389437.64</v>
      </c>
      <c r="F19" s="23">
        <f>+C19-E19</f>
        <v>354766.66999999993</v>
      </c>
    </row>
    <row r="20" spans="2:6">
      <c r="B20" s="14" t="s">
        <v>13</v>
      </c>
      <c r="C20" s="22">
        <v>944276.73</v>
      </c>
      <c r="D20" s="14"/>
      <c r="E20" s="22">
        <v>648788.59</v>
      </c>
      <c r="F20" s="23">
        <f t="shared" ref="F20:F27" si="1">+C20-E20</f>
        <v>295488.14</v>
      </c>
    </row>
    <row r="21" spans="2:6">
      <c r="B21" s="14" t="s">
        <v>14</v>
      </c>
      <c r="C21" s="22">
        <v>0</v>
      </c>
      <c r="D21" s="14"/>
      <c r="E21" s="22">
        <v>0</v>
      </c>
      <c r="F21" s="23">
        <f t="shared" si="1"/>
        <v>0</v>
      </c>
    </row>
    <row r="22" spans="2:6">
      <c r="B22" s="14" t="s">
        <v>15</v>
      </c>
      <c r="C22" s="22">
        <v>0</v>
      </c>
      <c r="D22" s="14"/>
      <c r="E22" s="22">
        <v>0</v>
      </c>
      <c r="F22" s="23">
        <f t="shared" si="1"/>
        <v>0</v>
      </c>
    </row>
    <row r="23" spans="2:6">
      <c r="B23" s="14" t="s">
        <v>16</v>
      </c>
      <c r="C23" s="22">
        <v>0</v>
      </c>
      <c r="D23" s="14"/>
      <c r="E23" s="22">
        <v>0</v>
      </c>
      <c r="F23" s="23">
        <f t="shared" si="1"/>
        <v>0</v>
      </c>
    </row>
    <row r="24" spans="2:6">
      <c r="B24" s="14" t="s">
        <v>17</v>
      </c>
      <c r="C24" s="22">
        <v>0</v>
      </c>
      <c r="D24" s="14"/>
      <c r="E24" s="22">
        <v>0</v>
      </c>
      <c r="F24" s="23">
        <f t="shared" si="1"/>
        <v>0</v>
      </c>
    </row>
    <row r="25" spans="2:6">
      <c r="B25" s="14" t="s">
        <v>18</v>
      </c>
      <c r="C25" s="22">
        <v>0</v>
      </c>
      <c r="D25" s="14"/>
      <c r="E25" s="22">
        <v>0</v>
      </c>
      <c r="F25" s="23">
        <f t="shared" si="1"/>
        <v>0</v>
      </c>
    </row>
    <row r="26" spans="2:6">
      <c r="B26" s="14" t="s">
        <v>19</v>
      </c>
      <c r="C26" s="22">
        <f>1041309.52-122831</f>
        <v>918478.52</v>
      </c>
      <c r="D26" s="14"/>
      <c r="E26" s="22">
        <v>771268.07</v>
      </c>
      <c r="F26" s="23">
        <f t="shared" si="1"/>
        <v>147210.45000000007</v>
      </c>
    </row>
    <row r="27" spans="2:6">
      <c r="B27" s="21" t="s">
        <v>20</v>
      </c>
      <c r="C27" s="19">
        <f>SUM(C19:C26)</f>
        <v>4606959.5600000005</v>
      </c>
      <c r="D27" s="14"/>
      <c r="E27" s="19">
        <v>3809494.3</v>
      </c>
      <c r="F27" s="24">
        <f t="shared" si="1"/>
        <v>797465.26000000071</v>
      </c>
    </row>
    <row r="28" spans="2:6">
      <c r="B28" s="14"/>
      <c r="C28" s="22"/>
      <c r="D28" s="14"/>
      <c r="E28" s="22"/>
      <c r="F28" s="14"/>
    </row>
    <row r="29" spans="2:6">
      <c r="B29" s="21" t="s">
        <v>21</v>
      </c>
      <c r="C29" s="19">
        <f>+C15-C27</f>
        <v>17085651.310000002</v>
      </c>
      <c r="D29" s="14"/>
      <c r="E29" s="19">
        <f>+E15-E27</f>
        <v>15615642.109999996</v>
      </c>
      <c r="F29" s="28">
        <f>+F15-F27</f>
        <v>1470009.2000000076</v>
      </c>
    </row>
    <row r="30" spans="2:6">
      <c r="B30" s="14"/>
      <c r="C30" s="22"/>
      <c r="D30" s="14"/>
      <c r="E30" s="22"/>
      <c r="F30" s="14"/>
    </row>
    <row r="31" spans="2:6">
      <c r="B31" s="14"/>
      <c r="C31" s="22"/>
      <c r="D31" s="14"/>
      <c r="E31" s="22"/>
      <c r="F31" s="14"/>
    </row>
    <row r="32" spans="2:6">
      <c r="B32" s="21" t="s">
        <v>22</v>
      </c>
      <c r="C32" s="22"/>
      <c r="D32" s="14"/>
      <c r="E32" s="19"/>
      <c r="F32" s="14"/>
    </row>
    <row r="33" spans="2:8">
      <c r="B33" s="14"/>
      <c r="C33" s="22"/>
      <c r="D33" s="14"/>
      <c r="E33" s="22"/>
      <c r="F33" s="14"/>
    </row>
    <row r="34" spans="2:8">
      <c r="B34" s="14" t="s">
        <v>23</v>
      </c>
      <c r="C34" s="22">
        <v>6674982.4800000004</v>
      </c>
      <c r="D34" s="14"/>
      <c r="E34" s="22">
        <v>6720431.9199999999</v>
      </c>
      <c r="F34" s="23"/>
    </row>
    <row r="35" spans="2:8">
      <c r="B35" s="14" t="s">
        <v>24</v>
      </c>
      <c r="C35" s="22">
        <v>2102368.7999999998</v>
      </c>
      <c r="D35" s="14"/>
      <c r="E35" s="22">
        <v>2944845.35</v>
      </c>
      <c r="F35" s="27"/>
    </row>
    <row r="36" spans="2:8">
      <c r="B36" s="14" t="s">
        <v>25</v>
      </c>
      <c r="C36" s="22">
        <f>3253743.7-1780435.34-149479+122831</f>
        <v>1446660.36</v>
      </c>
      <c r="D36" s="14"/>
      <c r="E36" s="22">
        <f>3341833.81-E37-E38</f>
        <v>1484197.21</v>
      </c>
      <c r="F36" s="27"/>
      <c r="H36" s="26"/>
    </row>
    <row r="37" spans="2:8">
      <c r="B37" s="14" t="s">
        <v>36</v>
      </c>
      <c r="C37" s="22">
        <v>1780435.34</v>
      </c>
      <c r="D37" s="14"/>
      <c r="E37" s="22">
        <v>1675712.6</v>
      </c>
      <c r="F37" s="23">
        <f>+C37-E37</f>
        <v>104722.73999999999</v>
      </c>
    </row>
    <row r="38" spans="2:8">
      <c r="B38" s="14" t="s">
        <v>37</v>
      </c>
      <c r="C38" s="22">
        <v>149479</v>
      </c>
      <c r="D38" s="14"/>
      <c r="E38" s="22">
        <v>181924</v>
      </c>
      <c r="F38" s="14"/>
    </row>
    <row r="39" spans="2:8">
      <c r="B39" s="14" t="s">
        <v>26</v>
      </c>
      <c r="C39" s="22">
        <f>1044028.17+40000</f>
        <v>1084028.17</v>
      </c>
      <c r="D39" s="14"/>
      <c r="E39" s="22">
        <v>696885.57</v>
      </c>
      <c r="F39" s="23">
        <f>+C39-E39</f>
        <v>387142.6</v>
      </c>
    </row>
    <row r="40" spans="2:8">
      <c r="B40" s="14" t="s">
        <v>27</v>
      </c>
      <c r="C40" s="22">
        <v>1518406.61</v>
      </c>
      <c r="D40" s="14"/>
      <c r="E40" s="22">
        <v>1518406.61</v>
      </c>
      <c r="F40" s="14"/>
    </row>
    <row r="41" spans="2:8">
      <c r="B41" s="14" t="s">
        <v>28</v>
      </c>
      <c r="C41" s="22">
        <v>413520.44</v>
      </c>
      <c r="D41" s="14"/>
      <c r="E41" s="22">
        <v>345604.7</v>
      </c>
      <c r="F41" s="23">
        <f>+C41-E41</f>
        <v>67915.739999999991</v>
      </c>
    </row>
    <row r="42" spans="2:8">
      <c r="B42" s="14" t="s">
        <v>29</v>
      </c>
      <c r="C42" s="22">
        <f>33333.33+65000</f>
        <v>98333.33</v>
      </c>
      <c r="D42" s="14"/>
      <c r="E42" s="22">
        <v>33333.33</v>
      </c>
      <c r="F42" s="23">
        <f>+C42-E42</f>
        <v>65000</v>
      </c>
    </row>
    <row r="43" spans="2:8">
      <c r="B43" s="14" t="s">
        <v>30</v>
      </c>
      <c r="C43" s="22">
        <v>707317.33</v>
      </c>
      <c r="D43" s="14"/>
      <c r="E43" s="22">
        <v>550455</v>
      </c>
      <c r="F43" s="23">
        <f>+C43-E43</f>
        <v>156862.32999999996</v>
      </c>
    </row>
    <row r="44" spans="2:8">
      <c r="B44" s="14" t="s">
        <v>31</v>
      </c>
      <c r="C44" s="22">
        <v>131411.1</v>
      </c>
      <c r="D44" s="14"/>
      <c r="E44" s="22">
        <v>165597.07</v>
      </c>
      <c r="F44" s="14"/>
    </row>
    <row r="45" spans="2:8">
      <c r="B45" s="14" t="s">
        <v>32</v>
      </c>
      <c r="C45" s="22">
        <v>327510</v>
      </c>
      <c r="D45" s="14"/>
      <c r="E45" s="22">
        <v>327510</v>
      </c>
      <c r="F45" s="14"/>
    </row>
    <row r="46" spans="2:8">
      <c r="B46" s="14" t="s">
        <v>33</v>
      </c>
      <c r="C46" s="22">
        <f>0.3*651198.35</f>
        <v>195359.50499999998</v>
      </c>
      <c r="D46" s="14"/>
      <c r="E46" s="22"/>
      <c r="F46" s="14"/>
    </row>
    <row r="47" spans="2:8">
      <c r="B47" s="21" t="s">
        <v>34</v>
      </c>
      <c r="C47" s="19">
        <f>SUM(C34:C46)</f>
        <v>16629812.465</v>
      </c>
      <c r="D47" s="14"/>
      <c r="E47" s="19">
        <f>SUM(E34:E46)</f>
        <v>16644903.359999999</v>
      </c>
      <c r="F47" s="14"/>
    </row>
    <row r="48" spans="2:8">
      <c r="B48" s="14"/>
      <c r="C48" s="22"/>
      <c r="D48" s="14"/>
      <c r="E48" s="14"/>
      <c r="F48" s="14"/>
    </row>
    <row r="49" spans="2:6">
      <c r="B49" s="21" t="s">
        <v>35</v>
      </c>
      <c r="C49" s="19">
        <f>+C29-C47</f>
        <v>455838.84500000253</v>
      </c>
      <c r="D49" s="14"/>
      <c r="E49" s="28">
        <f>+E29-E47</f>
        <v>-1029261.2500000037</v>
      </c>
      <c r="F49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5"/>
  <sheetViews>
    <sheetView workbookViewId="0">
      <selection activeCell="J12" sqref="J12"/>
    </sheetView>
  </sheetViews>
  <sheetFormatPr defaultRowHeight="14.25"/>
  <cols>
    <col min="2" max="2" width="25.625" bestFit="1" customWidth="1"/>
    <col min="3" max="3" width="13.125" bestFit="1" customWidth="1"/>
    <col min="4" max="4" width="13.25" style="1" bestFit="1" customWidth="1"/>
  </cols>
  <sheetData>
    <row r="3" spans="2:5" ht="15">
      <c r="B3" s="5" t="s">
        <v>39</v>
      </c>
      <c r="C3" s="5" t="s">
        <v>40</v>
      </c>
      <c r="D3" s="10" t="s">
        <v>0</v>
      </c>
    </row>
    <row r="4" spans="2:5">
      <c r="B4" s="7" t="s">
        <v>80</v>
      </c>
      <c r="C4" s="7">
        <v>30012</v>
      </c>
      <c r="D4" s="6">
        <v>5677.97</v>
      </c>
    </row>
    <row r="5" spans="2:5">
      <c r="B5" s="7" t="s">
        <v>81</v>
      </c>
      <c r="C5" s="7">
        <v>30012</v>
      </c>
      <c r="D5" s="6">
        <v>164512.76999999999</v>
      </c>
    </row>
    <row r="6" spans="2:5">
      <c r="B6" s="7" t="s">
        <v>82</v>
      </c>
      <c r="C6" s="7">
        <v>30012</v>
      </c>
      <c r="D6" s="6">
        <v>709603.4</v>
      </c>
    </row>
    <row r="7" spans="2:5">
      <c r="B7" s="7" t="s">
        <v>83</v>
      </c>
      <c r="C7" s="7">
        <v>30012</v>
      </c>
      <c r="D7" s="6">
        <v>33898.31</v>
      </c>
    </row>
    <row r="8" spans="2:5">
      <c r="B8" s="7" t="s">
        <v>84</v>
      </c>
      <c r="C8" s="7">
        <v>30012</v>
      </c>
      <c r="D8" s="6">
        <v>494576.24</v>
      </c>
    </row>
    <row r="9" spans="2:5">
      <c r="B9" s="7" t="s">
        <v>85</v>
      </c>
      <c r="C9" s="7">
        <v>30012</v>
      </c>
      <c r="D9" s="6">
        <v>63622.879999999997</v>
      </c>
    </row>
    <row r="10" spans="2:5">
      <c r="B10" s="7" t="s">
        <v>87</v>
      </c>
      <c r="C10" s="7">
        <v>30014</v>
      </c>
      <c r="D10" s="6">
        <v>123983.09</v>
      </c>
    </row>
    <row r="11" spans="2:5">
      <c r="B11" s="7" t="s">
        <v>89</v>
      </c>
      <c r="C11" s="7">
        <v>30014</v>
      </c>
      <c r="D11" s="6">
        <v>82372.92</v>
      </c>
    </row>
    <row r="12" spans="2:5">
      <c r="B12" s="7" t="s">
        <v>90</v>
      </c>
      <c r="C12" s="7">
        <v>30014</v>
      </c>
      <c r="D12" s="6">
        <v>8474.58</v>
      </c>
    </row>
    <row r="13" spans="2:5">
      <c r="B13" s="7" t="s">
        <v>86</v>
      </c>
      <c r="C13" s="7">
        <v>30025</v>
      </c>
      <c r="D13" s="6">
        <v>10169.52</v>
      </c>
    </row>
    <row r="14" spans="2:5">
      <c r="B14" s="7" t="s">
        <v>88</v>
      </c>
      <c r="C14" s="7">
        <v>30025</v>
      </c>
      <c r="D14" s="6">
        <v>1271.19</v>
      </c>
    </row>
    <row r="15" spans="2:5" ht="15">
      <c r="B15" s="2" t="s">
        <v>77</v>
      </c>
      <c r="C15" s="2"/>
      <c r="D15" s="3">
        <v>1698162.87</v>
      </c>
      <c r="E15">
        <v>0</v>
      </c>
    </row>
  </sheetData>
  <sortState ref="B4:D15">
    <sortCondition ref="C4:C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workbookViewId="0">
      <selection activeCell="B18" sqref="B18"/>
    </sheetView>
  </sheetViews>
  <sheetFormatPr defaultRowHeight="14.25"/>
  <cols>
    <col min="2" max="2" width="26.375" bestFit="1" customWidth="1"/>
    <col min="3" max="3" width="13.125" bestFit="1" customWidth="1"/>
    <col min="4" max="4" width="11.625" style="1" bestFit="1" customWidth="1"/>
  </cols>
  <sheetData>
    <row r="2" spans="2:5">
      <c r="B2" t="s">
        <v>38</v>
      </c>
    </row>
    <row r="3" spans="2:5">
      <c r="B3" t="s">
        <v>39</v>
      </c>
      <c r="C3" t="s">
        <v>40</v>
      </c>
      <c r="D3" s="1" t="s">
        <v>0</v>
      </c>
    </row>
    <row r="4" spans="2:5">
      <c r="B4" t="s">
        <v>179</v>
      </c>
      <c r="C4">
        <v>30004</v>
      </c>
      <c r="D4" s="1">
        <v>7881.37</v>
      </c>
    </row>
    <row r="5" spans="2:5">
      <c r="B5" t="s">
        <v>180</v>
      </c>
      <c r="C5">
        <v>30004</v>
      </c>
      <c r="D5" s="1">
        <v>15889.85</v>
      </c>
    </row>
    <row r="6" spans="2:5">
      <c r="B6" t="s">
        <v>181</v>
      </c>
      <c r="C6">
        <v>30004</v>
      </c>
      <c r="D6" s="1">
        <v>9245.7800000000007</v>
      </c>
    </row>
    <row r="7" spans="2:5" ht="15">
      <c r="D7" s="8">
        <f>SUM(D4:D6)</f>
        <v>33017</v>
      </c>
    </row>
    <row r="8" spans="2:5" ht="15">
      <c r="D8" s="8"/>
    </row>
    <row r="9" spans="2:5" ht="15">
      <c r="B9" t="s">
        <v>178</v>
      </c>
      <c r="C9">
        <v>30009</v>
      </c>
      <c r="D9" s="29">
        <f>22264.38+809</f>
        <v>23073.38</v>
      </c>
      <c r="E9" t="s">
        <v>183</v>
      </c>
    </row>
    <row r="10" spans="2:5" ht="15">
      <c r="B10" s="4"/>
      <c r="C10" s="4"/>
      <c r="D10" s="8"/>
    </row>
    <row r="11" spans="2:5" ht="15">
      <c r="B11" s="4" t="s">
        <v>177</v>
      </c>
      <c r="C11" s="4">
        <v>31014</v>
      </c>
      <c r="D11" s="8">
        <v>46170</v>
      </c>
    </row>
    <row r="13" spans="2:5">
      <c r="B13" t="s">
        <v>175</v>
      </c>
      <c r="C13">
        <v>31015</v>
      </c>
      <c r="D13" s="1">
        <v>174.1</v>
      </c>
    </row>
    <row r="14" spans="2:5">
      <c r="B14" t="s">
        <v>176</v>
      </c>
      <c r="C14">
        <v>31015</v>
      </c>
      <c r="D14" s="1">
        <v>166.16</v>
      </c>
    </row>
    <row r="15" spans="2:5">
      <c r="B15" t="s">
        <v>182</v>
      </c>
      <c r="C15">
        <v>31015</v>
      </c>
      <c r="D15" s="1">
        <v>-26.12</v>
      </c>
    </row>
    <row r="16" spans="2:5">
      <c r="B16" t="s">
        <v>162</v>
      </c>
      <c r="C16">
        <v>31015</v>
      </c>
      <c r="D16" s="1">
        <v>-24.8</v>
      </c>
    </row>
    <row r="17" spans="2:5">
      <c r="D17" s="1">
        <f>SUM(D13:D16)</f>
        <v>289.33999999999997</v>
      </c>
    </row>
    <row r="18" spans="2:5" ht="15">
      <c r="B18" s="4" t="s">
        <v>77</v>
      </c>
      <c r="C18" s="4"/>
      <c r="D18" s="8">
        <f>+D17+D11+D9+D7</f>
        <v>102549.72</v>
      </c>
      <c r="E18">
        <v>0</v>
      </c>
    </row>
  </sheetData>
  <sortState ref="B4:D15">
    <sortCondition ref="C4:C1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opLeftCell="A14" workbookViewId="0">
      <selection activeCell="C24" sqref="C24"/>
    </sheetView>
  </sheetViews>
  <sheetFormatPr defaultRowHeight="14.25"/>
  <cols>
    <col min="1" max="1" width="27.625" bestFit="1" customWidth="1"/>
    <col min="2" max="2" width="13.125" bestFit="1" customWidth="1"/>
    <col min="3" max="3" width="13.25" style="1" bestFit="1" customWidth="1"/>
  </cols>
  <sheetData>
    <row r="1" spans="1:3">
      <c r="A1" t="s">
        <v>38</v>
      </c>
    </row>
    <row r="2" spans="1:3">
      <c r="A2" s="7" t="s">
        <v>39</v>
      </c>
      <c r="B2" s="7" t="s">
        <v>40</v>
      </c>
      <c r="C2" s="6" t="s">
        <v>0</v>
      </c>
    </row>
    <row r="3" spans="1:3" ht="15">
      <c r="A3" s="7" t="s">
        <v>167</v>
      </c>
      <c r="B3" s="7">
        <v>40014</v>
      </c>
      <c r="C3" s="3">
        <v>31879.9</v>
      </c>
    </row>
    <row r="4" spans="1:3">
      <c r="A4" s="7"/>
      <c r="B4" s="7"/>
      <c r="C4" s="6"/>
    </row>
    <row r="5" spans="1:3" ht="15">
      <c r="A5" s="7" t="s">
        <v>112</v>
      </c>
      <c r="B5" s="7">
        <v>41002</v>
      </c>
      <c r="C5" s="3">
        <v>1200</v>
      </c>
    </row>
    <row r="6" spans="1:3">
      <c r="A6" s="7"/>
      <c r="B6" s="7"/>
      <c r="C6" s="6"/>
    </row>
    <row r="7" spans="1:3" ht="15">
      <c r="A7" s="7" t="s">
        <v>43</v>
      </c>
      <c r="B7" s="7">
        <v>41003</v>
      </c>
      <c r="C7" s="3">
        <v>1379.31</v>
      </c>
    </row>
    <row r="8" spans="1:3">
      <c r="A8" s="7" t="s">
        <v>173</v>
      </c>
      <c r="B8" s="7">
        <v>41003</v>
      </c>
      <c r="C8" s="6">
        <v>0</v>
      </c>
    </row>
    <row r="9" spans="1:3">
      <c r="A9" s="7"/>
      <c r="B9" s="7"/>
      <c r="C9" s="6"/>
    </row>
    <row r="10" spans="1:3">
      <c r="A10" s="7" t="s">
        <v>169</v>
      </c>
      <c r="B10" s="7">
        <v>41006</v>
      </c>
      <c r="C10" s="6">
        <v>77455.31</v>
      </c>
    </row>
    <row r="11" spans="1:3">
      <c r="A11" s="7" t="s">
        <v>171</v>
      </c>
      <c r="B11" s="7">
        <v>41006</v>
      </c>
      <c r="C11" s="6">
        <v>41124.65</v>
      </c>
    </row>
    <row r="12" spans="1:3">
      <c r="A12" s="7"/>
      <c r="B12" s="7"/>
      <c r="C12" s="7"/>
    </row>
    <row r="13" spans="1:3" ht="15">
      <c r="A13" s="7"/>
      <c r="B13" s="7"/>
      <c r="C13" s="3">
        <f>SUM(C10:C12)</f>
        <v>118579.95999999999</v>
      </c>
    </row>
    <row r="14" spans="1:3" ht="15">
      <c r="A14" s="7"/>
      <c r="B14" s="7"/>
      <c r="C14" s="3"/>
    </row>
    <row r="15" spans="1:3">
      <c r="A15" s="7" t="s">
        <v>165</v>
      </c>
      <c r="B15" s="7">
        <v>41007</v>
      </c>
      <c r="C15" s="6">
        <v>2200</v>
      </c>
    </row>
    <row r="16" spans="1:3">
      <c r="A16" s="7" t="s">
        <v>166</v>
      </c>
      <c r="B16" s="7">
        <v>41007</v>
      </c>
      <c r="C16" s="6">
        <v>21850</v>
      </c>
    </row>
    <row r="17" spans="1:4">
      <c r="A17" s="7" t="s">
        <v>170</v>
      </c>
      <c r="B17" s="7">
        <v>41007</v>
      </c>
      <c r="C17" s="6">
        <v>8922.41</v>
      </c>
    </row>
    <row r="18" spans="1:4">
      <c r="A18" s="7" t="s">
        <v>60</v>
      </c>
      <c r="B18" s="7">
        <v>41007</v>
      </c>
      <c r="C18" s="6">
        <v>222213.87</v>
      </c>
    </row>
    <row r="19" spans="1:4">
      <c r="A19" s="7" t="s">
        <v>61</v>
      </c>
      <c r="B19" s="7">
        <v>41007</v>
      </c>
      <c r="C19" s="6">
        <v>133134.73000000001</v>
      </c>
    </row>
    <row r="20" spans="1:4">
      <c r="A20" s="7" t="s">
        <v>168</v>
      </c>
      <c r="B20" s="7">
        <v>41007</v>
      </c>
      <c r="C20" s="6">
        <f>259411.74-122831</f>
        <v>136580.74</v>
      </c>
    </row>
    <row r="21" spans="1:4">
      <c r="A21" s="7" t="s">
        <v>172</v>
      </c>
      <c r="B21" s="7">
        <v>41007</v>
      </c>
      <c r="C21" s="6">
        <v>-1034</v>
      </c>
    </row>
    <row r="22" spans="1:4" ht="15">
      <c r="A22" s="7"/>
      <c r="B22" s="7"/>
      <c r="C22" s="3">
        <f>SUM(C15:C21)</f>
        <v>523867.75</v>
      </c>
    </row>
    <row r="23" spans="1:4">
      <c r="A23" s="7"/>
      <c r="B23" s="7"/>
      <c r="C23" s="6"/>
    </row>
    <row r="24" spans="1:4" ht="15">
      <c r="A24" s="2" t="s">
        <v>62</v>
      </c>
      <c r="B24" s="2">
        <v>41007</v>
      </c>
      <c r="C24" s="3">
        <v>117224.17</v>
      </c>
    </row>
    <row r="25" spans="1:4">
      <c r="A25" s="7"/>
      <c r="B25" s="7"/>
      <c r="C25" s="6"/>
    </row>
    <row r="26" spans="1:4">
      <c r="A26" s="7"/>
      <c r="B26" s="7"/>
      <c r="C26" s="6"/>
    </row>
    <row r="27" spans="1:4" ht="15">
      <c r="A27" s="2" t="s">
        <v>112</v>
      </c>
      <c r="B27" s="2">
        <v>41007</v>
      </c>
      <c r="C27" s="3">
        <v>124347.42</v>
      </c>
    </row>
    <row r="28" spans="1:4">
      <c r="A28" s="7"/>
      <c r="B28" s="7"/>
      <c r="C28" s="6"/>
    </row>
    <row r="29" spans="1:4" ht="15">
      <c r="A29" s="2" t="s">
        <v>77</v>
      </c>
      <c r="B29" s="2"/>
      <c r="C29" s="3">
        <f>+C27+C24+C22+C13+C7+C5+C3</f>
        <v>918478.51</v>
      </c>
      <c r="D29">
        <v>0</v>
      </c>
    </row>
  </sheetData>
  <sortState ref="A3:C29">
    <sortCondition ref="B3:B2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55"/>
  <sheetViews>
    <sheetView topLeftCell="A43" workbookViewId="0">
      <selection activeCell="F44" sqref="F44"/>
    </sheetView>
  </sheetViews>
  <sheetFormatPr defaultRowHeight="14.25"/>
  <cols>
    <col min="2" max="2" width="28.75" bestFit="1" customWidth="1"/>
    <col min="3" max="3" width="13.75" bestFit="1" customWidth="1"/>
    <col min="4" max="4" width="13.25" style="1" bestFit="1" customWidth="1"/>
    <col min="5" max="5" width="13.25" style="1" customWidth="1"/>
    <col min="6" max="6" width="19.75" bestFit="1" customWidth="1"/>
    <col min="7" max="7" width="13.75" bestFit="1" customWidth="1"/>
    <col min="8" max="8" width="13.25" bestFit="1" customWidth="1"/>
  </cols>
  <sheetData>
    <row r="3" spans="2:8" ht="15">
      <c r="B3" s="5" t="s">
        <v>38</v>
      </c>
      <c r="C3" s="5"/>
      <c r="D3" s="10"/>
    </row>
    <row r="4" spans="2:8" ht="15">
      <c r="B4" s="5" t="s">
        <v>39</v>
      </c>
      <c r="C4" s="5" t="s">
        <v>40</v>
      </c>
      <c r="D4" s="10" t="s">
        <v>0</v>
      </c>
      <c r="F4" s="5" t="s">
        <v>39</v>
      </c>
      <c r="G4" s="5" t="s">
        <v>40</v>
      </c>
      <c r="H4" s="10" t="s">
        <v>0</v>
      </c>
    </row>
    <row r="5" spans="2:8">
      <c r="B5" s="7" t="s">
        <v>51</v>
      </c>
      <c r="C5" s="7">
        <v>61003</v>
      </c>
      <c r="D5" s="6">
        <v>18000</v>
      </c>
      <c r="F5" s="7" t="s">
        <v>66</v>
      </c>
      <c r="G5" s="7">
        <v>61001</v>
      </c>
      <c r="H5" s="6">
        <v>1780435.34</v>
      </c>
    </row>
    <row r="6" spans="2:8">
      <c r="B6" s="7" t="s">
        <v>70</v>
      </c>
      <c r="C6" s="7">
        <v>61003</v>
      </c>
      <c r="D6" s="6">
        <v>27000</v>
      </c>
      <c r="F6" s="7" t="s">
        <v>76</v>
      </c>
      <c r="G6" s="7">
        <v>61001</v>
      </c>
      <c r="H6" s="6">
        <v>149479</v>
      </c>
    </row>
    <row r="7" spans="2:8" ht="15">
      <c r="B7" s="7"/>
      <c r="C7" s="7"/>
      <c r="D7" s="3">
        <f>SUM(D5:D6)</f>
        <v>45000</v>
      </c>
      <c r="F7" s="7"/>
      <c r="G7" s="7"/>
      <c r="H7" s="6"/>
    </row>
    <row r="8" spans="2:8" ht="15">
      <c r="B8" s="7" t="s">
        <v>58</v>
      </c>
      <c r="C8" s="7">
        <v>61004</v>
      </c>
      <c r="D8" s="3">
        <v>173675</v>
      </c>
      <c r="F8" s="7"/>
      <c r="G8" s="7"/>
      <c r="H8" s="7"/>
    </row>
    <row r="9" spans="2:8">
      <c r="B9" s="7"/>
      <c r="C9" s="7"/>
      <c r="D9" s="6"/>
    </row>
    <row r="10" spans="2:8">
      <c r="B10" s="7" t="s">
        <v>57</v>
      </c>
      <c r="C10" s="7">
        <v>61007</v>
      </c>
      <c r="D10" s="6">
        <v>3935.24</v>
      </c>
    </row>
    <row r="11" spans="2:8">
      <c r="B11" s="7" t="s">
        <v>73</v>
      </c>
      <c r="C11" s="7">
        <v>61007</v>
      </c>
      <c r="D11" s="6">
        <v>130300</v>
      </c>
    </row>
    <row r="12" spans="2:8" ht="15">
      <c r="B12" s="7"/>
      <c r="C12" s="7"/>
      <c r="D12" s="3">
        <f>SUM(D10:D11)</f>
        <v>134235.24</v>
      </c>
    </row>
    <row r="13" spans="2:8">
      <c r="B13" s="7" t="s">
        <v>55</v>
      </c>
      <c r="C13" s="7">
        <v>61008</v>
      </c>
      <c r="D13" s="6">
        <v>35239.5</v>
      </c>
    </row>
    <row r="14" spans="2:8">
      <c r="B14" s="7" t="s">
        <v>56</v>
      </c>
      <c r="C14" s="7">
        <v>61008</v>
      </c>
      <c r="D14" s="6">
        <v>600</v>
      </c>
    </row>
    <row r="15" spans="2:8">
      <c r="B15" s="7" t="s">
        <v>63</v>
      </c>
      <c r="C15" s="7">
        <v>61008</v>
      </c>
      <c r="D15" s="6">
        <v>83200</v>
      </c>
    </row>
    <row r="16" spans="2:8">
      <c r="B16" s="7" t="s">
        <v>64</v>
      </c>
      <c r="C16" s="7">
        <v>61008</v>
      </c>
      <c r="D16" s="6">
        <v>46000</v>
      </c>
    </row>
    <row r="17" spans="2:4" ht="15">
      <c r="B17" s="7"/>
      <c r="C17" s="7"/>
      <c r="D17" s="3">
        <f>SUM(D13:D16)</f>
        <v>165039.5</v>
      </c>
    </row>
    <row r="18" spans="2:4">
      <c r="B18" s="7" t="s">
        <v>52</v>
      </c>
      <c r="C18" s="7">
        <v>61012</v>
      </c>
      <c r="D18" s="6">
        <v>20000</v>
      </c>
    </row>
    <row r="19" spans="2:4">
      <c r="B19" s="7" t="s">
        <v>65</v>
      </c>
      <c r="C19" s="7">
        <v>61012</v>
      </c>
      <c r="D19" s="6">
        <v>12968.97</v>
      </c>
    </row>
    <row r="20" spans="2:4" ht="15">
      <c r="B20" s="7"/>
      <c r="C20" s="7"/>
      <c r="D20" s="3">
        <f>SUM(D18:D19)</f>
        <v>32968.97</v>
      </c>
    </row>
    <row r="21" spans="2:4">
      <c r="B21" s="7" t="s">
        <v>71</v>
      </c>
      <c r="C21" s="7">
        <v>61014</v>
      </c>
      <c r="D21" s="6">
        <v>277350</v>
      </c>
    </row>
    <row r="22" spans="2:4">
      <c r="B22" s="7" t="s">
        <v>72</v>
      </c>
      <c r="C22" s="7">
        <v>61014</v>
      </c>
      <c r="D22" s="6">
        <v>400</v>
      </c>
    </row>
    <row r="23" spans="2:4" ht="15">
      <c r="B23" s="7"/>
      <c r="C23" s="7"/>
      <c r="D23" s="3">
        <f>SUM(D21:D22)</f>
        <v>277750</v>
      </c>
    </row>
    <row r="24" spans="2:4">
      <c r="B24" s="7" t="s">
        <v>41</v>
      </c>
      <c r="C24" s="7">
        <v>64001</v>
      </c>
      <c r="D24" s="6">
        <v>95358.98</v>
      </c>
    </row>
    <row r="25" spans="2:4">
      <c r="B25" s="7" t="s">
        <v>42</v>
      </c>
      <c r="C25" s="7">
        <v>64001</v>
      </c>
      <c r="D25" s="6">
        <v>10000</v>
      </c>
    </row>
    <row r="26" spans="2:4">
      <c r="B26" s="7" t="s">
        <v>43</v>
      </c>
      <c r="C26" s="7">
        <v>64001</v>
      </c>
      <c r="D26" s="6">
        <v>29127.94</v>
      </c>
    </row>
    <row r="27" spans="2:4">
      <c r="B27" s="7" t="s">
        <v>44</v>
      </c>
      <c r="C27" s="7">
        <v>64001</v>
      </c>
      <c r="D27" s="6">
        <v>775.86</v>
      </c>
    </row>
    <row r="28" spans="2:4">
      <c r="B28" s="7" t="s">
        <v>45</v>
      </c>
      <c r="C28" s="7">
        <v>64001</v>
      </c>
      <c r="D28" s="6">
        <v>775.86</v>
      </c>
    </row>
    <row r="29" spans="2:4">
      <c r="B29" s="7" t="s">
        <v>46</v>
      </c>
      <c r="C29" s="7">
        <v>64001</v>
      </c>
      <c r="D29" s="6">
        <v>28681.59</v>
      </c>
    </row>
    <row r="30" spans="2:4">
      <c r="B30" s="7" t="s">
        <v>47</v>
      </c>
      <c r="C30" s="7">
        <v>64001</v>
      </c>
      <c r="D30" s="6">
        <v>22790.32</v>
      </c>
    </row>
    <row r="31" spans="2:4">
      <c r="B31" s="7" t="s">
        <v>48</v>
      </c>
      <c r="C31" s="7">
        <v>64001</v>
      </c>
      <c r="D31" s="6">
        <v>43000</v>
      </c>
    </row>
    <row r="32" spans="2:4">
      <c r="B32" s="7" t="s">
        <v>49</v>
      </c>
      <c r="C32" s="7">
        <v>64001</v>
      </c>
      <c r="D32" s="6">
        <v>15200</v>
      </c>
    </row>
    <row r="33" spans="2:4">
      <c r="B33" s="7" t="s">
        <v>50</v>
      </c>
      <c r="C33" s="7">
        <v>64001</v>
      </c>
      <c r="D33" s="6">
        <v>563.79</v>
      </c>
    </row>
    <row r="34" spans="2:4">
      <c r="B34" s="7" t="s">
        <v>74</v>
      </c>
      <c r="C34" s="7">
        <v>64001</v>
      </c>
      <c r="D34" s="6">
        <v>0</v>
      </c>
    </row>
    <row r="35" spans="2:4">
      <c r="B35" s="7" t="s">
        <v>75</v>
      </c>
      <c r="C35" s="7">
        <v>64001</v>
      </c>
      <c r="D35" s="6">
        <v>0</v>
      </c>
    </row>
    <row r="36" spans="2:4" ht="15">
      <c r="B36" s="7"/>
      <c r="C36" s="7"/>
      <c r="D36" s="3">
        <f>SUM(D24:D35)</f>
        <v>246274.33999999997</v>
      </c>
    </row>
    <row r="37" spans="2:4">
      <c r="B37" s="7" t="s">
        <v>53</v>
      </c>
      <c r="C37" s="7">
        <v>64002</v>
      </c>
      <c r="D37" s="6">
        <v>118788</v>
      </c>
    </row>
    <row r="38" spans="2:4">
      <c r="B38" s="7" t="s">
        <v>54</v>
      </c>
      <c r="C38" s="7">
        <v>64002</v>
      </c>
      <c r="D38" s="6">
        <v>12392.24</v>
      </c>
    </row>
    <row r="39" spans="2:4" ht="15">
      <c r="B39" s="7"/>
      <c r="C39" s="7"/>
      <c r="D39" s="3">
        <f>SUM(D37:D38)</f>
        <v>131180.24</v>
      </c>
    </row>
    <row r="40" spans="2:4">
      <c r="B40" s="7" t="s">
        <v>68</v>
      </c>
      <c r="C40" s="7">
        <v>64002</v>
      </c>
      <c r="D40" s="6">
        <v>15000</v>
      </c>
    </row>
    <row r="41" spans="2:4">
      <c r="B41" s="7" t="s">
        <v>69</v>
      </c>
      <c r="C41" s="7">
        <v>64002</v>
      </c>
      <c r="D41" s="6">
        <v>12000</v>
      </c>
    </row>
    <row r="42" spans="2:4" ht="15">
      <c r="B42" s="7"/>
      <c r="C42" s="7"/>
      <c r="D42" s="3">
        <f>SUM(D40:D41)</f>
        <v>27000</v>
      </c>
    </row>
    <row r="43" spans="2:4">
      <c r="B43" s="7" t="s">
        <v>60</v>
      </c>
      <c r="C43" s="7">
        <v>64016</v>
      </c>
      <c r="D43" s="6">
        <v>2582.38</v>
      </c>
    </row>
    <row r="44" spans="2:4">
      <c r="B44" s="7" t="s">
        <v>61</v>
      </c>
      <c r="C44" s="7">
        <v>64016</v>
      </c>
      <c r="D44" s="6">
        <v>2228.9899999999998</v>
      </c>
    </row>
    <row r="45" spans="2:4">
      <c r="B45" s="7" t="s">
        <v>62</v>
      </c>
      <c r="C45" s="7">
        <v>64016</v>
      </c>
      <c r="D45" s="6">
        <v>684.25</v>
      </c>
    </row>
    <row r="46" spans="2:4" ht="15">
      <c r="B46" s="7"/>
      <c r="C46" s="7"/>
      <c r="D46" s="3">
        <f>SUM(D43:D45)</f>
        <v>5495.62</v>
      </c>
    </row>
    <row r="47" spans="2:4" ht="15">
      <c r="B47" s="7" t="s">
        <v>67</v>
      </c>
      <c r="C47" s="7">
        <v>64018</v>
      </c>
      <c r="D47" s="3">
        <v>84506</v>
      </c>
    </row>
    <row r="48" spans="2:4">
      <c r="B48" s="7"/>
      <c r="C48" s="7"/>
      <c r="D48" s="6"/>
    </row>
    <row r="49" spans="2:6" ht="15">
      <c r="B49" s="7" t="s">
        <v>60</v>
      </c>
      <c r="C49" s="7">
        <v>64019</v>
      </c>
      <c r="D49" s="3">
        <v>704.45</v>
      </c>
    </row>
    <row r="50" spans="2:6" ht="15.75" customHeight="1">
      <c r="B50" s="7"/>
      <c r="C50" s="7"/>
      <c r="D50" s="6"/>
    </row>
    <row r="51" spans="2:6" ht="15.75" customHeight="1">
      <c r="B51" s="7" t="s">
        <v>91</v>
      </c>
      <c r="C51" s="7"/>
      <c r="D51" s="3">
        <v>122831</v>
      </c>
    </row>
    <row r="52" spans="2:6" ht="15.75" customHeight="1">
      <c r="B52" s="7"/>
      <c r="C52" s="7"/>
      <c r="D52" s="3"/>
    </row>
    <row r="53" spans="2:6" s="4" customFormat="1" ht="15">
      <c r="B53" s="2" t="s">
        <v>77</v>
      </c>
      <c r="C53" s="2"/>
      <c r="D53" s="3">
        <f>+D51+D49+D47+D46+D42+D39+D36+D23+D20+D17+D12+D8+D7</f>
        <v>1446660.3599999999</v>
      </c>
      <c r="E53" s="8"/>
    </row>
    <row r="54" spans="2:6">
      <c r="B54" s="7"/>
      <c r="C54" s="7"/>
      <c r="D54" s="6"/>
    </row>
    <row r="55" spans="2:6">
      <c r="F55">
        <v>0</v>
      </c>
    </row>
  </sheetData>
  <sortState ref="B5:D55">
    <sortCondition ref="C5:C5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19" workbookViewId="0">
      <selection activeCell="C28" sqref="C28"/>
    </sheetView>
  </sheetViews>
  <sheetFormatPr defaultRowHeight="14.25"/>
  <cols>
    <col min="1" max="1" width="28.25" bestFit="1" customWidth="1"/>
    <col min="2" max="2" width="13.125" bestFit="1" customWidth="1"/>
    <col min="3" max="3" width="13.25" style="1" bestFit="1" customWidth="1"/>
  </cols>
  <sheetData>
    <row r="1" spans="1:3" ht="15">
      <c r="A1" s="5" t="s">
        <v>38</v>
      </c>
      <c r="B1" s="5"/>
      <c r="C1" s="10"/>
    </row>
    <row r="2" spans="1:3" ht="15">
      <c r="A2" s="5" t="s">
        <v>39</v>
      </c>
      <c r="B2" s="5" t="s">
        <v>40</v>
      </c>
      <c r="C2" s="10" t="s">
        <v>0</v>
      </c>
    </row>
    <row r="3" spans="1:3">
      <c r="A3" s="7" t="s">
        <v>99</v>
      </c>
      <c r="B3" s="7">
        <v>62001</v>
      </c>
      <c r="C3" s="6">
        <v>3488</v>
      </c>
    </row>
    <row r="4" spans="1:3">
      <c r="A4" s="7" t="s">
        <v>101</v>
      </c>
      <c r="B4" s="7">
        <v>62001</v>
      </c>
      <c r="C4" s="6">
        <v>56356.62</v>
      </c>
    </row>
    <row r="5" spans="1:3">
      <c r="A5" s="7" t="s">
        <v>102</v>
      </c>
      <c r="B5" s="7">
        <v>62001</v>
      </c>
      <c r="C5" s="6">
        <v>29020</v>
      </c>
    </row>
    <row r="6" spans="1:3" ht="15">
      <c r="A6" s="7"/>
      <c r="B6" s="7"/>
      <c r="C6" s="3">
        <f>SUM(C3:C5)</f>
        <v>88864.62</v>
      </c>
    </row>
    <row r="7" spans="1:3">
      <c r="A7" s="7" t="s">
        <v>104</v>
      </c>
      <c r="B7" s="7">
        <v>62003</v>
      </c>
      <c r="C7" s="6">
        <v>38985.17</v>
      </c>
    </row>
    <row r="8" spans="1:3">
      <c r="A8" s="7" t="s">
        <v>108</v>
      </c>
      <c r="B8" s="7">
        <v>62003</v>
      </c>
      <c r="C8" s="6">
        <v>30373</v>
      </c>
    </row>
    <row r="9" spans="1:3">
      <c r="A9" s="7" t="s">
        <v>110</v>
      </c>
      <c r="B9" s="7">
        <v>62003</v>
      </c>
      <c r="C9" s="6">
        <v>18467</v>
      </c>
    </row>
    <row r="10" spans="1:3" ht="15">
      <c r="A10" s="7"/>
      <c r="B10" s="7"/>
      <c r="C10" s="3">
        <f>SUM(C7:C9)</f>
        <v>87825.17</v>
      </c>
    </row>
    <row r="11" spans="1:3" ht="15">
      <c r="A11" s="7" t="s">
        <v>100</v>
      </c>
      <c r="B11" s="7">
        <v>62004</v>
      </c>
      <c r="C11" s="11">
        <v>72119</v>
      </c>
    </row>
    <row r="12" spans="1:3">
      <c r="A12" s="7"/>
      <c r="B12" s="7"/>
      <c r="C12" s="6"/>
    </row>
    <row r="13" spans="1:3" ht="15">
      <c r="A13" s="7" t="s">
        <v>112</v>
      </c>
      <c r="B13" s="7">
        <v>62005</v>
      </c>
      <c r="C13" s="3">
        <v>26575.87</v>
      </c>
    </row>
    <row r="14" spans="1:3">
      <c r="A14" s="7"/>
      <c r="B14" s="7"/>
      <c r="C14" s="6"/>
    </row>
    <row r="15" spans="1:3" ht="15">
      <c r="A15" s="7" t="s">
        <v>107</v>
      </c>
      <c r="B15" s="7">
        <v>62011</v>
      </c>
      <c r="C15" s="3">
        <v>60000</v>
      </c>
    </row>
    <row r="16" spans="1:3">
      <c r="A16" s="7"/>
      <c r="B16" s="7"/>
      <c r="C16" s="6"/>
    </row>
    <row r="17" spans="1:3" ht="15">
      <c r="A17" s="7" t="s">
        <v>103</v>
      </c>
      <c r="B17" s="7">
        <v>62014</v>
      </c>
      <c r="C17" s="3">
        <v>35000</v>
      </c>
    </row>
    <row r="18" spans="1:3">
      <c r="A18" s="7"/>
      <c r="B18" s="7"/>
      <c r="C18" s="6"/>
    </row>
    <row r="19" spans="1:3">
      <c r="A19" s="7" t="s">
        <v>92</v>
      </c>
      <c r="B19" s="7">
        <v>62017</v>
      </c>
      <c r="C19" s="6">
        <v>21120</v>
      </c>
    </row>
    <row r="20" spans="1:3">
      <c r="A20" s="7" t="s">
        <v>98</v>
      </c>
      <c r="B20" s="7">
        <v>62017</v>
      </c>
      <c r="C20" s="6">
        <v>13333.34</v>
      </c>
    </row>
    <row r="21" spans="1:3" ht="15">
      <c r="A21" s="7"/>
      <c r="B21" s="7"/>
      <c r="C21" s="3">
        <f>SUM(C19:C20)</f>
        <v>34453.339999999997</v>
      </c>
    </row>
    <row r="22" spans="1:3">
      <c r="A22" s="7" t="s">
        <v>95</v>
      </c>
      <c r="B22" s="7">
        <v>62020</v>
      </c>
      <c r="C22" s="6">
        <v>53017.24</v>
      </c>
    </row>
    <row r="23" spans="1:3">
      <c r="A23" s="7" t="s">
        <v>96</v>
      </c>
      <c r="B23" s="7">
        <v>62020</v>
      </c>
      <c r="C23" s="6">
        <v>56250</v>
      </c>
    </row>
    <row r="24" spans="1:3">
      <c r="A24" s="7" t="s">
        <v>106</v>
      </c>
      <c r="B24" s="7">
        <v>62020</v>
      </c>
      <c r="C24" s="6">
        <v>158405.17000000001</v>
      </c>
    </row>
    <row r="25" spans="1:3">
      <c r="A25" s="7" t="s">
        <v>163</v>
      </c>
      <c r="B25" s="7">
        <v>62020</v>
      </c>
      <c r="C25" s="6">
        <v>141500</v>
      </c>
    </row>
    <row r="26" spans="1:3">
      <c r="A26" s="7" t="s">
        <v>109</v>
      </c>
      <c r="B26" s="7">
        <v>62020</v>
      </c>
      <c r="C26" s="6">
        <v>12000</v>
      </c>
    </row>
    <row r="27" spans="1:3">
      <c r="A27" s="7" t="s">
        <v>113</v>
      </c>
      <c r="B27" s="7">
        <v>62020</v>
      </c>
      <c r="C27" s="6">
        <v>21681.03</v>
      </c>
    </row>
    <row r="28" spans="1:3" ht="15">
      <c r="A28" s="7"/>
      <c r="B28" s="7"/>
      <c r="C28" s="11">
        <f>SUM(C22:C27)</f>
        <v>442853.44000000006</v>
      </c>
    </row>
    <row r="29" spans="1:3">
      <c r="A29" s="7" t="s">
        <v>94</v>
      </c>
      <c r="B29" s="7">
        <v>62021</v>
      </c>
      <c r="C29" s="6">
        <v>10000</v>
      </c>
    </row>
    <row r="30" spans="1:3">
      <c r="A30" s="7" t="s">
        <v>97</v>
      </c>
      <c r="B30" s="7">
        <v>62021</v>
      </c>
      <c r="C30" s="6">
        <v>3333.33</v>
      </c>
    </row>
    <row r="31" spans="1:3">
      <c r="A31" s="7" t="s">
        <v>105</v>
      </c>
      <c r="B31" s="7">
        <v>62021</v>
      </c>
      <c r="C31" s="6">
        <v>108553.4</v>
      </c>
    </row>
    <row r="32" spans="1:3" ht="15">
      <c r="A32" s="7"/>
      <c r="B32" s="7"/>
      <c r="C32" s="3">
        <f>SUM(C29:C31)</f>
        <v>121886.73</v>
      </c>
    </row>
    <row r="33" spans="1:4" ht="15">
      <c r="A33" s="7" t="s">
        <v>93</v>
      </c>
      <c r="B33" s="7">
        <v>62024</v>
      </c>
      <c r="C33" s="3">
        <v>31950</v>
      </c>
    </row>
    <row r="34" spans="1:4">
      <c r="A34" s="7"/>
      <c r="B34" s="7"/>
      <c r="C34" s="6"/>
    </row>
    <row r="35" spans="1:4" ht="15">
      <c r="A35" s="7" t="s">
        <v>111</v>
      </c>
      <c r="B35" s="7">
        <v>62024</v>
      </c>
      <c r="C35" s="3">
        <v>42500</v>
      </c>
    </row>
    <row r="36" spans="1:4">
      <c r="A36" s="7"/>
      <c r="B36" s="7"/>
      <c r="C36" s="6"/>
    </row>
    <row r="37" spans="1:4" ht="15">
      <c r="A37" s="7" t="s">
        <v>114</v>
      </c>
      <c r="B37" s="7">
        <v>62010</v>
      </c>
      <c r="C37" s="3">
        <v>40000</v>
      </c>
    </row>
    <row r="38" spans="1:4" s="4" customFormat="1" ht="15">
      <c r="A38" s="2" t="s">
        <v>77</v>
      </c>
      <c r="B38" s="2"/>
      <c r="C38" s="3">
        <f>+C37+C35+C33+C32+C28+C21+C17+C15+C13+C11+C10+C6</f>
        <v>1084028.17</v>
      </c>
      <c r="D38" s="4">
        <v>0</v>
      </c>
    </row>
  </sheetData>
  <sortState ref="A3:C35">
    <sortCondition ref="B3:B3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opLeftCell="A19" workbookViewId="0">
      <selection activeCell="C15" sqref="C15"/>
    </sheetView>
  </sheetViews>
  <sheetFormatPr defaultRowHeight="14.25"/>
  <cols>
    <col min="1" max="1" width="26.875" bestFit="1" customWidth="1"/>
    <col min="2" max="2" width="13.75" bestFit="1" customWidth="1"/>
    <col min="3" max="3" width="11.625" style="1" bestFit="1" customWidth="1"/>
  </cols>
  <sheetData>
    <row r="1" spans="1:3" ht="15">
      <c r="A1" s="2" t="s">
        <v>38</v>
      </c>
      <c r="B1" s="2"/>
      <c r="C1" s="3"/>
    </row>
    <row r="2" spans="1:3" ht="15">
      <c r="A2" s="2" t="s">
        <v>39</v>
      </c>
      <c r="B2" s="2" t="s">
        <v>40</v>
      </c>
      <c r="C2" s="3" t="s">
        <v>0</v>
      </c>
    </row>
    <row r="3" spans="1:3">
      <c r="A3" s="7" t="s">
        <v>118</v>
      </c>
      <c r="B3" s="7">
        <v>64009</v>
      </c>
      <c r="C3" s="6">
        <v>2783.33</v>
      </c>
    </row>
    <row r="4" spans="1:3">
      <c r="A4" s="7" t="s">
        <v>119</v>
      </c>
      <c r="B4" s="7">
        <v>64009</v>
      </c>
      <c r="C4" s="6">
        <v>25166.67</v>
      </c>
    </row>
    <row r="5" spans="1:3">
      <c r="A5" s="7" t="s">
        <v>120</v>
      </c>
      <c r="B5" s="7">
        <v>64009</v>
      </c>
      <c r="C5" s="6">
        <v>416.67</v>
      </c>
    </row>
    <row r="6" spans="1:3">
      <c r="A6" s="7" t="s">
        <v>121</v>
      </c>
      <c r="B6" s="7">
        <v>64009</v>
      </c>
      <c r="C6" s="6">
        <v>2083.33</v>
      </c>
    </row>
    <row r="7" spans="1:3">
      <c r="A7" s="7" t="s">
        <v>122</v>
      </c>
      <c r="B7" s="7">
        <v>64009</v>
      </c>
      <c r="C7" s="6">
        <v>1250</v>
      </c>
    </row>
    <row r="8" spans="1:3">
      <c r="A8" s="7" t="s">
        <v>124</v>
      </c>
      <c r="B8" s="7">
        <v>64009</v>
      </c>
      <c r="C8" s="6">
        <v>833.33</v>
      </c>
    </row>
    <row r="9" spans="1:3">
      <c r="A9" s="7" t="s">
        <v>125</v>
      </c>
      <c r="B9" s="7">
        <v>64009</v>
      </c>
      <c r="C9" s="6">
        <v>13250</v>
      </c>
    </row>
    <row r="10" spans="1:3">
      <c r="A10" s="7" t="s">
        <v>126</v>
      </c>
      <c r="B10" s="7">
        <v>64009</v>
      </c>
      <c r="C10" s="6">
        <v>16333.33</v>
      </c>
    </row>
    <row r="11" spans="1:3">
      <c r="A11" s="7" t="s">
        <v>127</v>
      </c>
      <c r="B11" s="7">
        <v>64009</v>
      </c>
      <c r="C11" s="6">
        <v>7166.67</v>
      </c>
    </row>
    <row r="12" spans="1:3">
      <c r="A12" s="7" t="s">
        <v>134</v>
      </c>
      <c r="B12" s="7">
        <v>64009</v>
      </c>
      <c r="C12" s="6">
        <v>2674.33</v>
      </c>
    </row>
    <row r="13" spans="1:3" ht="15">
      <c r="A13" s="7"/>
      <c r="B13" s="7"/>
      <c r="C13" s="3">
        <f>SUM(C3:C12)</f>
        <v>71957.66</v>
      </c>
    </row>
    <row r="14" spans="1:3">
      <c r="A14" s="7" t="s">
        <v>115</v>
      </c>
      <c r="B14" s="7">
        <v>64011</v>
      </c>
      <c r="C14" s="6">
        <v>74718</v>
      </c>
    </row>
    <row r="15" spans="1:3">
      <c r="A15" s="7" t="s">
        <v>116</v>
      </c>
      <c r="B15" s="7">
        <v>64011</v>
      </c>
      <c r="C15" s="9">
        <v>51529.66</v>
      </c>
    </row>
    <row r="16" spans="1:3">
      <c r="A16" s="7" t="s">
        <v>117</v>
      </c>
      <c r="B16" s="7">
        <v>64011</v>
      </c>
      <c r="C16" s="6">
        <v>191970</v>
      </c>
    </row>
    <row r="17" spans="1:4">
      <c r="A17" s="7" t="s">
        <v>59</v>
      </c>
      <c r="B17" s="7">
        <v>64011</v>
      </c>
      <c r="C17" s="6">
        <v>6964</v>
      </c>
    </row>
    <row r="18" spans="1:4" ht="15">
      <c r="A18" s="7"/>
      <c r="B18" s="7"/>
      <c r="C18" s="3">
        <f>SUM(C14:C17)</f>
        <v>325181.66000000003</v>
      </c>
    </row>
    <row r="19" spans="1:4" ht="15">
      <c r="A19" s="7" t="s">
        <v>123</v>
      </c>
      <c r="B19" s="7">
        <v>64013</v>
      </c>
      <c r="C19" s="3">
        <v>16379.31</v>
      </c>
    </row>
    <row r="20" spans="1:4">
      <c r="A20" s="7"/>
      <c r="B20" s="7"/>
      <c r="C20" s="6"/>
    </row>
    <row r="21" spans="1:4">
      <c r="A21" s="7" t="s">
        <v>128</v>
      </c>
      <c r="B21" s="7">
        <v>64026</v>
      </c>
      <c r="C21" s="6">
        <v>2.48</v>
      </c>
    </row>
    <row r="22" spans="1:4">
      <c r="A22" s="7" t="s">
        <v>129</v>
      </c>
      <c r="B22" s="7">
        <v>64026</v>
      </c>
      <c r="C22" s="6">
        <v>0.9</v>
      </c>
    </row>
    <row r="23" spans="1:4">
      <c r="A23" s="7" t="s">
        <v>130</v>
      </c>
      <c r="B23" s="7">
        <v>64026</v>
      </c>
      <c r="C23" s="6">
        <v>4.5</v>
      </c>
    </row>
    <row r="24" spans="1:4">
      <c r="A24" s="7" t="s">
        <v>131</v>
      </c>
      <c r="B24" s="7">
        <v>64026</v>
      </c>
      <c r="C24" s="6">
        <v>-0.8</v>
      </c>
    </row>
    <row r="25" spans="1:4">
      <c r="A25" s="7" t="s">
        <v>132</v>
      </c>
      <c r="B25" s="7">
        <v>64026</v>
      </c>
      <c r="C25" s="6">
        <v>-0.31</v>
      </c>
    </row>
    <row r="26" spans="1:4">
      <c r="A26" s="7" t="s">
        <v>133</v>
      </c>
      <c r="B26" s="7">
        <v>64026</v>
      </c>
      <c r="C26" s="6">
        <v>-4.96</v>
      </c>
    </row>
    <row r="27" spans="1:4" ht="15">
      <c r="A27" s="7"/>
      <c r="B27" s="7"/>
      <c r="C27" s="3">
        <f>SUM(C21:C26)</f>
        <v>1.8100000000000005</v>
      </c>
    </row>
    <row r="28" spans="1:4" ht="15">
      <c r="A28" s="7" t="s">
        <v>77</v>
      </c>
      <c r="B28" s="7"/>
      <c r="C28" s="3">
        <f>+C27++C18+C13</f>
        <v>397141.13</v>
      </c>
      <c r="D28">
        <v>0</v>
      </c>
    </row>
  </sheetData>
  <sortState ref="A3:C26">
    <sortCondition ref="B3:B2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3" sqref="C3"/>
    </sheetView>
  </sheetViews>
  <sheetFormatPr defaultRowHeight="14.25"/>
  <cols>
    <col min="1" max="1" width="22" bestFit="1" customWidth="1"/>
    <col min="2" max="2" width="13.125" bestFit="1" customWidth="1"/>
    <col min="3" max="3" width="10.625" style="1" bestFit="1" customWidth="1"/>
  </cols>
  <sheetData>
    <row r="1" spans="1:4" ht="15">
      <c r="A1" s="5" t="s">
        <v>38</v>
      </c>
      <c r="B1" s="5"/>
      <c r="C1" s="10"/>
    </row>
    <row r="2" spans="1:4" ht="15">
      <c r="A2" s="5" t="s">
        <v>39</v>
      </c>
      <c r="B2" s="5" t="s">
        <v>40</v>
      </c>
      <c r="C2" s="10" t="s">
        <v>0</v>
      </c>
    </row>
    <row r="3" spans="1:4">
      <c r="A3" s="7" t="s">
        <v>164</v>
      </c>
      <c r="B3" s="7">
        <v>64006</v>
      </c>
      <c r="C3" s="9">
        <v>65000</v>
      </c>
    </row>
    <row r="4" spans="1:4">
      <c r="A4" s="7" t="s">
        <v>135</v>
      </c>
      <c r="B4" s="7"/>
      <c r="C4" s="6">
        <v>33333.33</v>
      </c>
    </row>
    <row r="5" spans="1:4" s="4" customFormat="1" ht="15">
      <c r="A5" s="2" t="s">
        <v>77</v>
      </c>
      <c r="B5" s="2"/>
      <c r="C5" s="3">
        <f>SUM(C3:C4)</f>
        <v>98333.33</v>
      </c>
      <c r="D5" s="4">
        <v>0</v>
      </c>
    </row>
    <row r="6" spans="1:4">
      <c r="A6" s="7"/>
      <c r="B6" s="7"/>
      <c r="C6" s="6"/>
    </row>
    <row r="7" spans="1:4">
      <c r="A7" s="7"/>
      <c r="B7" s="7"/>
      <c r="C7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F9" sqref="F9"/>
    </sheetView>
  </sheetViews>
  <sheetFormatPr defaultRowHeight="14.25"/>
  <cols>
    <col min="1" max="1" width="40.125" bestFit="1" customWidth="1"/>
    <col min="2" max="2" width="13.125" bestFit="1" customWidth="1"/>
    <col min="3" max="3" width="11.625" style="1" bestFit="1" customWidth="1"/>
  </cols>
  <sheetData>
    <row r="1" spans="1:4" ht="15">
      <c r="A1" s="5" t="s">
        <v>38</v>
      </c>
      <c r="B1" s="5"/>
      <c r="C1" s="10"/>
    </row>
    <row r="2" spans="1:4" ht="15">
      <c r="A2" s="5" t="s">
        <v>39</v>
      </c>
      <c r="B2" s="5" t="s">
        <v>40</v>
      </c>
      <c r="C2" s="10" t="s">
        <v>0</v>
      </c>
    </row>
    <row r="3" spans="1:4">
      <c r="A3" s="7" t="s">
        <v>174</v>
      </c>
      <c r="B3" s="7">
        <v>63003</v>
      </c>
      <c r="C3" s="6">
        <v>34201.43</v>
      </c>
    </row>
    <row r="4" spans="1:4">
      <c r="A4" s="7" t="s">
        <v>137</v>
      </c>
      <c r="B4" s="7">
        <v>63003</v>
      </c>
      <c r="C4" s="6">
        <v>55800</v>
      </c>
    </row>
    <row r="5" spans="1:4">
      <c r="A5" s="7" t="s">
        <v>138</v>
      </c>
      <c r="B5" s="7">
        <v>63003</v>
      </c>
      <c r="C5" s="6">
        <v>58436.9</v>
      </c>
    </row>
    <row r="6" spans="1:4">
      <c r="A6" s="7" t="s">
        <v>140</v>
      </c>
      <c r="B6" s="7">
        <v>63003</v>
      </c>
      <c r="C6" s="6">
        <v>512000</v>
      </c>
    </row>
    <row r="7" spans="1:4" ht="15">
      <c r="A7" s="7"/>
      <c r="B7" s="7"/>
      <c r="C7" s="3">
        <f>SUM(C3:C6)</f>
        <v>660438.32999999996</v>
      </c>
    </row>
    <row r="8" spans="1:4">
      <c r="A8" s="7" t="s">
        <v>139</v>
      </c>
      <c r="B8" s="7">
        <v>63016</v>
      </c>
      <c r="C8" s="6">
        <v>25469</v>
      </c>
    </row>
    <row r="9" spans="1:4">
      <c r="A9" s="7" t="s">
        <v>136</v>
      </c>
      <c r="B9" s="7">
        <v>63016</v>
      </c>
      <c r="C9" s="6">
        <v>21410</v>
      </c>
    </row>
    <row r="10" spans="1:4" ht="15">
      <c r="A10" s="7"/>
      <c r="B10" s="7"/>
      <c r="C10" s="3">
        <f>SUM(C8:C9)</f>
        <v>46879</v>
      </c>
    </row>
    <row r="11" spans="1:4" ht="15">
      <c r="A11" s="3" t="s">
        <v>77</v>
      </c>
      <c r="B11" s="3"/>
      <c r="C11" s="3">
        <v>707317.33</v>
      </c>
      <c r="D11">
        <v>0</v>
      </c>
    </row>
  </sheetData>
  <sortState ref="A3:C9">
    <sortCondition ref="B3:B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opLeftCell="A22" workbookViewId="0">
      <selection activeCell="A30" sqref="A30"/>
    </sheetView>
  </sheetViews>
  <sheetFormatPr defaultRowHeight="14.25"/>
  <cols>
    <col min="1" max="1" width="26.25" bestFit="1" customWidth="1"/>
    <col min="2" max="2" width="13.125" bestFit="1" customWidth="1"/>
    <col min="3" max="3" width="11.625" style="1" bestFit="1" customWidth="1"/>
  </cols>
  <sheetData>
    <row r="1" spans="1:3">
      <c r="A1" t="s">
        <v>38</v>
      </c>
    </row>
    <row r="2" spans="1:3">
      <c r="A2" t="s">
        <v>39</v>
      </c>
      <c r="B2" t="s">
        <v>40</v>
      </c>
      <c r="C2" s="1" t="s">
        <v>0</v>
      </c>
    </row>
    <row r="3" spans="1:3">
      <c r="A3" t="s">
        <v>141</v>
      </c>
      <c r="B3">
        <v>73005</v>
      </c>
      <c r="C3" s="1">
        <v>32.200000000000003</v>
      </c>
    </row>
    <row r="4" spans="1:3">
      <c r="A4" t="s">
        <v>142</v>
      </c>
      <c r="B4">
        <v>73005</v>
      </c>
      <c r="C4" s="1">
        <v>4855.8500000000004</v>
      </c>
    </row>
    <row r="5" spans="1:3">
      <c r="A5" t="s">
        <v>143</v>
      </c>
      <c r="B5">
        <v>73005</v>
      </c>
      <c r="C5" s="1">
        <v>2898.45</v>
      </c>
    </row>
    <row r="6" spans="1:3">
      <c r="A6" t="s">
        <v>144</v>
      </c>
      <c r="B6">
        <v>73005</v>
      </c>
      <c r="C6" s="1">
        <v>6294.45</v>
      </c>
    </row>
    <row r="7" spans="1:3">
      <c r="A7" t="s">
        <v>145</v>
      </c>
      <c r="B7">
        <v>73005</v>
      </c>
      <c r="C7" s="1">
        <v>690</v>
      </c>
    </row>
    <row r="8" spans="1:3">
      <c r="A8" t="s">
        <v>146</v>
      </c>
      <c r="B8">
        <v>73005</v>
      </c>
      <c r="C8" s="1">
        <v>3667.5</v>
      </c>
    </row>
    <row r="9" spans="1:3">
      <c r="A9" t="s">
        <v>147</v>
      </c>
      <c r="B9">
        <v>73005</v>
      </c>
      <c r="C9" s="1">
        <v>2416.75</v>
      </c>
    </row>
    <row r="10" spans="1:3">
      <c r="A10" t="s">
        <v>148</v>
      </c>
      <c r="B10">
        <v>73005</v>
      </c>
      <c r="C10" s="1">
        <v>3618.32</v>
      </c>
    </row>
    <row r="11" spans="1:3">
      <c r="A11" t="s">
        <v>149</v>
      </c>
      <c r="B11">
        <v>73005</v>
      </c>
      <c r="C11" s="1">
        <v>85166.97</v>
      </c>
    </row>
    <row r="12" spans="1:3">
      <c r="A12" t="s">
        <v>150</v>
      </c>
      <c r="B12">
        <v>73005</v>
      </c>
      <c r="C12" s="1">
        <v>1844.6</v>
      </c>
    </row>
    <row r="13" spans="1:3">
      <c r="A13" t="s">
        <v>151</v>
      </c>
      <c r="B13">
        <v>73005</v>
      </c>
      <c r="C13" s="1">
        <v>3698.45</v>
      </c>
    </row>
    <row r="14" spans="1:3">
      <c r="A14" t="s">
        <v>152</v>
      </c>
      <c r="B14">
        <v>73005</v>
      </c>
      <c r="C14" s="1">
        <v>414</v>
      </c>
    </row>
    <row r="15" spans="1:3">
      <c r="A15" t="s">
        <v>153</v>
      </c>
      <c r="B15">
        <v>73005</v>
      </c>
      <c r="C15" s="1">
        <v>313</v>
      </c>
    </row>
    <row r="16" spans="1:3">
      <c r="A16" t="s">
        <v>154</v>
      </c>
      <c r="B16">
        <v>73005</v>
      </c>
      <c r="C16" s="1">
        <v>14290.6</v>
      </c>
    </row>
    <row r="17" spans="1:3">
      <c r="A17" t="s">
        <v>157</v>
      </c>
      <c r="B17">
        <v>73005</v>
      </c>
      <c r="C17" s="1">
        <v>-14906.15</v>
      </c>
    </row>
    <row r="18" spans="1:3">
      <c r="A18" t="s">
        <v>158</v>
      </c>
      <c r="B18">
        <v>73005</v>
      </c>
      <c r="C18" s="1">
        <v>110</v>
      </c>
    </row>
    <row r="19" spans="1:3">
      <c r="A19" t="s">
        <v>159</v>
      </c>
      <c r="B19">
        <v>73005</v>
      </c>
      <c r="C19" s="1">
        <v>2522</v>
      </c>
    </row>
    <row r="20" spans="1:3">
      <c r="A20" t="s">
        <v>160</v>
      </c>
      <c r="B20">
        <v>73005</v>
      </c>
      <c r="C20" s="1">
        <v>5741.16</v>
      </c>
    </row>
    <row r="21" spans="1:3">
      <c r="A21" t="s">
        <v>161</v>
      </c>
      <c r="B21">
        <v>73005</v>
      </c>
      <c r="C21" s="1">
        <v>567.5</v>
      </c>
    </row>
    <row r="22" spans="1:3">
      <c r="A22" t="s">
        <v>162</v>
      </c>
      <c r="B22">
        <v>73005</v>
      </c>
      <c r="C22" s="1">
        <v>-24.8</v>
      </c>
    </row>
    <row r="23" spans="1:3" ht="15">
      <c r="C23" s="8">
        <f>SUM(C3:C22)</f>
        <v>124210.85000000002</v>
      </c>
    </row>
    <row r="24" spans="1:3">
      <c r="A24" t="s">
        <v>155</v>
      </c>
      <c r="B24">
        <v>73006</v>
      </c>
      <c r="C24" s="1">
        <v>1487.95</v>
      </c>
    </row>
    <row r="25" spans="1:3">
      <c r="A25" t="s">
        <v>156</v>
      </c>
      <c r="B25">
        <v>73006</v>
      </c>
      <c r="C25" s="1">
        <v>5712.3</v>
      </c>
    </row>
    <row r="26" spans="1:3" ht="15">
      <c r="C26" s="8">
        <f>SUM(C24:C25)</f>
        <v>7200.25</v>
      </c>
    </row>
    <row r="27" spans="1:3" s="4" customFormat="1" ht="15">
      <c r="A27" s="4" t="s">
        <v>77</v>
      </c>
      <c r="C27" s="8">
        <v>131411.1</v>
      </c>
    </row>
  </sheetData>
  <sortState ref="A3:C25">
    <sortCondition ref="B3:B2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B7" sqref="B7"/>
    </sheetView>
  </sheetViews>
  <sheetFormatPr defaultRowHeight="14.25"/>
  <cols>
    <col min="1" max="2" width="75.875" customWidth="1"/>
  </cols>
  <sheetData>
    <row r="1" spans="1:1" ht="15">
      <c r="A1" s="13" t="s">
        <v>190</v>
      </c>
    </row>
    <row r="2" spans="1:1" ht="57" customHeight="1">
      <c r="A2" s="12" t="s">
        <v>184</v>
      </c>
    </row>
    <row r="3" spans="1:1" ht="34.5">
      <c r="A3" s="12" t="s">
        <v>185</v>
      </c>
    </row>
    <row r="4" spans="1:1" ht="17.25">
      <c r="A4" s="12" t="s">
        <v>186</v>
      </c>
    </row>
    <row r="5" spans="1:1" ht="34.5">
      <c r="A5" s="12" t="s">
        <v>187</v>
      </c>
    </row>
    <row r="6" spans="1:1" ht="51.75">
      <c r="A6" s="12" t="s">
        <v>188</v>
      </c>
    </row>
    <row r="7" spans="1:1" ht="17.25">
      <c r="A7" s="12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P&amp;L MAY 2024</vt:lpstr>
      <vt:lpstr>HEALTHCLUB REVENUE</vt:lpstr>
      <vt:lpstr>MISC REVENUE</vt:lpstr>
      <vt:lpstr>COS-OTHERS</vt:lpstr>
      <vt:lpstr>OPERATING EXPENSES</vt:lpstr>
      <vt:lpstr>REPAIRS &amp; MAINTAINANCE</vt:lpstr>
      <vt:lpstr>ADMIN &amp; GENERAL</vt:lpstr>
      <vt:lpstr>PROFESSIONAL</vt:lpstr>
      <vt:lpstr>SALES &amp; MARKETING</vt:lpstr>
      <vt:lpstr>FINANCE EXPENSES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Hillpark Hotel</dc:creator>
  <cp:lastModifiedBy>Neville</cp:lastModifiedBy>
  <dcterms:created xsi:type="dcterms:W3CDTF">2024-06-24T12:33:54Z</dcterms:created>
  <dcterms:modified xsi:type="dcterms:W3CDTF">2024-06-25T07:18:22Z</dcterms:modified>
</cp:coreProperties>
</file>